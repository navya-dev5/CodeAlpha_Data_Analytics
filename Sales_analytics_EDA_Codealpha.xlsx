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8_{07A17CD4-E9D0-4A82-9DA8-B1524DC20B7C}" xr6:coauthVersionLast="47" xr6:coauthVersionMax="47" xr10:uidLastSave="{00000000-0000-0000-0000-000000000000}"/>
  <bookViews>
    <workbookView xWindow="-108" yWindow="-108" windowWidth="23256" windowHeight="12456" activeTab="1" xr2:uid="{35728768-B247-4610-A9D3-67704655B04C}"/>
  </bookViews>
  <sheets>
    <sheet name="Sheet1" sheetId="2" r:id="rId1"/>
    <sheet name="Dashboard" sheetId="3" r:id="rId2"/>
    <sheet name="CodeAlpha_Data_Analytics_Sales_" sheetId="1" r:id="rId3"/>
  </sheets>
  <definedNames>
    <definedName name="_xlnm._FilterDatabase" localSheetId="2" hidden="1">CodeAlpha_Data_Analytics_Sales_!$A$1:$J$101</definedName>
  </definedNames>
  <calcPr calcId="0"/>
  <pivotCaches>
    <pivotCache cacheId="7" r:id="rId4"/>
  </pivotCaches>
</workbook>
</file>

<file path=xl/calcChain.xml><?xml version="1.0" encoding="utf-8"?>
<calcChain xmlns="http://schemas.openxmlformats.org/spreadsheetml/2006/main">
  <c r="L9" i="1" l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<sst xmlns="http://schemas.openxmlformats.org/spreadsheetml/2006/main" count="537" uniqueCount="150">
  <si>
    <t>Order_ID</t>
  </si>
  <si>
    <t>Order_Date</t>
  </si>
  <si>
    <t>Product</t>
  </si>
  <si>
    <t>Category</t>
  </si>
  <si>
    <t>Region</t>
  </si>
  <si>
    <t>Customer_Type</t>
  </si>
  <si>
    <t>Quantity</t>
  </si>
  <si>
    <t>Discount</t>
  </si>
  <si>
    <t>Sales</t>
  </si>
  <si>
    <t>Profit</t>
  </si>
  <si>
    <t>ORD0057</t>
  </si>
  <si>
    <t>Office Chair</t>
  </si>
  <si>
    <t>Furniture</t>
  </si>
  <si>
    <t>North</t>
  </si>
  <si>
    <t>Corporate</t>
  </si>
  <si>
    <t>ORD0076</t>
  </si>
  <si>
    <t>Headphones</t>
  </si>
  <si>
    <t>Electronics</t>
  </si>
  <si>
    <t>South</t>
  </si>
  <si>
    <t>Small Business</t>
  </si>
  <si>
    <t>ORD0048</t>
  </si>
  <si>
    <t>Laptop</t>
  </si>
  <si>
    <t>East</t>
  </si>
  <si>
    <t>Retail</t>
  </si>
  <si>
    <t>ORD0015</t>
  </si>
  <si>
    <t>ORD0079</t>
  </si>
  <si>
    <t>Desk</t>
  </si>
  <si>
    <t>ORD0011</t>
  </si>
  <si>
    <t>Keyboard</t>
  </si>
  <si>
    <t>Accessories</t>
  </si>
  <si>
    <t>ORD0025</t>
  </si>
  <si>
    <t>ORD0071</t>
  </si>
  <si>
    <t>West</t>
  </si>
  <si>
    <t>ORD0085</t>
  </si>
  <si>
    <t>ORD0007</t>
  </si>
  <si>
    <t>ORD0064</t>
  </si>
  <si>
    <t>ORD0070</t>
  </si>
  <si>
    <t>ORD0002</t>
  </si>
  <si>
    <t>Smartphone</t>
  </si>
  <si>
    <t>ORD0005</t>
  </si>
  <si>
    <t>ORD0031</t>
  </si>
  <si>
    <t>ORD0039</t>
  </si>
  <si>
    <t>Backpack</t>
  </si>
  <si>
    <t>ORD0008</t>
  </si>
  <si>
    <t>ORD0042</t>
  </si>
  <si>
    <t>ORD0051</t>
  </si>
  <si>
    <t>ORD0046</t>
  </si>
  <si>
    <t>Mouse</t>
  </si>
  <si>
    <t>ORD0081</t>
  </si>
  <si>
    <t>ORD0082</t>
  </si>
  <si>
    <t>ORD0058</t>
  </si>
  <si>
    <t>ORD0098</t>
  </si>
  <si>
    <t>ORD0099</t>
  </si>
  <si>
    <t>ORD0038</t>
  </si>
  <si>
    <t>ORD0001</t>
  </si>
  <si>
    <t>ORD0013</t>
  </si>
  <si>
    <t>ORD0047</t>
  </si>
  <si>
    <t>ORD0065</t>
  </si>
  <si>
    <t>ORD0019</t>
  </si>
  <si>
    <t>ORD0022</t>
  </si>
  <si>
    <t>ORD0062</t>
  </si>
  <si>
    <t>ORD0030</t>
  </si>
  <si>
    <t>ORD0096</t>
  </si>
  <si>
    <t>ORD0097</t>
  </si>
  <si>
    <t>ORD0080</t>
  </si>
  <si>
    <t>ORD0043</t>
  </si>
  <si>
    <t>ORD0072</t>
  </si>
  <si>
    <t>ORD0009</t>
  </si>
  <si>
    <t>ORD0093</t>
  </si>
  <si>
    <t>ORD0063</t>
  </si>
  <si>
    <t>ORD0036</t>
  </si>
  <si>
    <t>ORD0092</t>
  </si>
  <si>
    <t>ORD0088</t>
  </si>
  <si>
    <t>ORD0010</t>
  </si>
  <si>
    <t>ORD0095</t>
  </si>
  <si>
    <t>ORD0077</t>
  </si>
  <si>
    <t>ORD0045</t>
  </si>
  <si>
    <t>ORD0018</t>
  </si>
  <si>
    <t>ORD0055</t>
  </si>
  <si>
    <t>ORD0087</t>
  </si>
  <si>
    <t>ORD0074</t>
  </si>
  <si>
    <t>ORD0069</t>
  </si>
  <si>
    <t>ORD0026</t>
  </si>
  <si>
    <t>ORD0034</t>
  </si>
  <si>
    <t>ORD0059</t>
  </si>
  <si>
    <t>ORD0041</t>
  </si>
  <si>
    <t>ORD0060</t>
  </si>
  <si>
    <t>ORD0084</t>
  </si>
  <si>
    <t>ORD0012</t>
  </si>
  <si>
    <t>ORD0061</t>
  </si>
  <si>
    <t>ORD0050</t>
  </si>
  <si>
    <t>ORD0024</t>
  </si>
  <si>
    <t>ORD0029</t>
  </si>
  <si>
    <t>ORD0004</t>
  </si>
  <si>
    <t>ORD0017</t>
  </si>
  <si>
    <t>ORD0040</t>
  </si>
  <si>
    <t>ORD0073</t>
  </si>
  <si>
    <t>ORD0090</t>
  </si>
  <si>
    <t>ORD0020</t>
  </si>
  <si>
    <t>ORD0086</t>
  </si>
  <si>
    <t>ORD0083</t>
  </si>
  <si>
    <t>ORD0006</t>
  </si>
  <si>
    <t>ORD0089</t>
  </si>
  <si>
    <t>ORD0078</t>
  </si>
  <si>
    <t>ORD0033</t>
  </si>
  <si>
    <t>ORD0023</t>
  </si>
  <si>
    <t>ORD0054</t>
  </si>
  <si>
    <t>ORD0014</t>
  </si>
  <si>
    <t>ORD0053</t>
  </si>
  <si>
    <t>ORD0075</t>
  </si>
  <si>
    <t>ORD0049</t>
  </si>
  <si>
    <t>ORD0028</t>
  </si>
  <si>
    <t>ORD0003</t>
  </si>
  <si>
    <t>ORD0037</t>
  </si>
  <si>
    <t>ORD0044</t>
  </si>
  <si>
    <t>ORD0100</t>
  </si>
  <si>
    <t>ORD0052</t>
  </si>
  <si>
    <t>ORD0067</t>
  </si>
  <si>
    <t>ORD0016</t>
  </si>
  <si>
    <t>ORD0027</t>
  </si>
  <si>
    <t>ORD0068</t>
  </si>
  <si>
    <t>ORD0035</t>
  </si>
  <si>
    <t>ORD0032</t>
  </si>
  <si>
    <t>ORD0021</t>
  </si>
  <si>
    <t>ORD0056</t>
  </si>
  <si>
    <t>ORD0091</t>
  </si>
  <si>
    <t>ORD0066</t>
  </si>
  <si>
    <t>ORD0094</t>
  </si>
  <si>
    <t>Sales Analysis</t>
  </si>
  <si>
    <t>total sales</t>
  </si>
  <si>
    <t>Average Sales</t>
  </si>
  <si>
    <t>Min sales</t>
  </si>
  <si>
    <t>Max Sales</t>
  </si>
  <si>
    <t>Profitt anal</t>
  </si>
  <si>
    <t>Total profit</t>
  </si>
  <si>
    <t>MIN Profit</t>
  </si>
  <si>
    <t>Max Profit</t>
  </si>
  <si>
    <t>Row Labels</t>
  </si>
  <si>
    <t>Grand Total</t>
  </si>
  <si>
    <t>Sum of Sales</t>
  </si>
  <si>
    <t>Key Insights</t>
  </si>
  <si>
    <t>Laptop has the highest sales Among all Products</t>
  </si>
  <si>
    <t>North region has the highest total sales</t>
  </si>
  <si>
    <t>South Region has the lowest total sales</t>
  </si>
  <si>
    <t>Total sales across all regions are 4,244,390</t>
  </si>
  <si>
    <t xml:space="preserve"> Key Insights</t>
  </si>
  <si>
    <t>Laptop has the highest sales among all products</t>
  </si>
  <si>
    <t>south region has the highest total sales</t>
  </si>
  <si>
    <r>
      <t>North region</t>
    </r>
    <r>
      <rPr>
        <sz val="11"/>
        <color theme="1"/>
        <rFont val="Aptos Narrow"/>
        <family val="2"/>
        <scheme val="minor"/>
      </rPr>
      <t xml:space="preserve"> has the highest total sales</t>
    </r>
  </si>
  <si>
    <t>SALES 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</si>
</sst>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[Sales_analytics_EDA_Codealpha.xlsx]Sheet1!PivotTable1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1207340</c:v>
                </c:pt>
                <c:pt idx="1">
                  <c:v>1344830</c:v>
                </c:pt>
                <c:pt idx="2">
                  <c:v>605225</c:v>
                </c:pt>
                <c:pt idx="3">
                  <c:v>1086995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D-420B-A4CC-12CAB81B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[Sales_analytics_EDA_Codealpha.xlsx]Sheet1!PivotTable1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r>
              <a:rPr lang="en-US"/>
              <a:t>Region</a:t>
            </a:r>
            <a:r>
              <a:rPr lang="en-US" baseline="0"/>
              <a:t> wise-sales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1207340</c:v>
                </c:pt>
                <c:pt idx="1">
                  <c:v>1344830</c:v>
                </c:pt>
                <c:pt idx="2">
                  <c:v>605225</c:v>
                </c:pt>
                <c:pt idx="3">
                  <c:v>1086995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D-43CD-ACE7-91FE4D104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276095"/>
        <c:axId val="1598566607"/>
      </c:barChart>
      <c:catAx>
        <c:axId val="178527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66607"/>
        <c:crosses val="autoZero"/>
        <c:auto val="1"/>
        <c:lblAlgn val="ctr"/>
        <c:lblOffset val="100"/>
        <c:noMultiLvlLbl val="0"/>
      </c:catAx>
      <c:valAx>
        <c:axId val="159856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7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[Sales_analytics_EDA_Codealpha.xlsx]Sheet1!PivotTable1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1207340</c:v>
                </c:pt>
                <c:pt idx="1">
                  <c:v>1344830</c:v>
                </c:pt>
                <c:pt idx="2">
                  <c:v>605225</c:v>
                </c:pt>
                <c:pt idx="3">
                  <c:v>1086995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6-4D29-9EDC-AAD204B68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869167"/>
        <c:axId val="1780627759"/>
      </c:barChart>
      <c:catAx>
        <c:axId val="17878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627759"/>
        <c:crosses val="autoZero"/>
        <c:auto val="1"/>
        <c:lblAlgn val="ctr"/>
        <c:lblOffset val="100"/>
        <c:noMultiLvlLbl val="0"/>
      </c:catAx>
      <c:valAx>
        <c:axId val="17806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6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[Sales_analytics_EDA_Codealpha.xlsx]Sheet1!PivotTable1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01-4E88-8CDE-6BBF750AFA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01-4E88-8CDE-6BBF750AFA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01-4E88-8CDE-6BBF750AFA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01-4E88-8CDE-6BBF750AFA65}"/>
              </c:ext>
            </c:extLst>
          </c:dPt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1207340</c:v>
                </c:pt>
                <c:pt idx="1">
                  <c:v>1344830</c:v>
                </c:pt>
                <c:pt idx="2">
                  <c:v>605225</c:v>
                </c:pt>
                <c:pt idx="3">
                  <c:v>1086995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01-4E88-8CDE-6BBF750AF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[Sales_analytics_EDA_Codealpha.xlsx]Sheet1!PivotTable1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r>
              <a:rPr lang="en-US"/>
              <a:t>Region</a:t>
            </a:r>
            <a:r>
              <a:rPr lang="en-US" baseline="0"/>
              <a:t> wise-sales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1207340</c:v>
                </c:pt>
                <c:pt idx="1">
                  <c:v>1344830</c:v>
                </c:pt>
                <c:pt idx="2">
                  <c:v>605225</c:v>
                </c:pt>
                <c:pt idx="3">
                  <c:v>1086995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E-43FA-8CD4-5458B2B52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276095"/>
        <c:axId val="1598566607"/>
      </c:barChart>
      <c:catAx>
        <c:axId val="178527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66607"/>
        <c:crosses val="autoZero"/>
        <c:auto val="1"/>
        <c:lblAlgn val="ctr"/>
        <c:lblOffset val="100"/>
        <c:noMultiLvlLbl val="0"/>
      </c:catAx>
      <c:valAx>
        <c:axId val="159856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7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[Sales_analytics_EDA_Codealpha.xlsx]Sheet1!PivotTable1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1207340</c:v>
                </c:pt>
                <c:pt idx="1">
                  <c:v>1344830</c:v>
                </c:pt>
                <c:pt idx="2">
                  <c:v>605225</c:v>
                </c:pt>
                <c:pt idx="3">
                  <c:v>1086995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7-4F37-8170-E80FBB5D8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869167"/>
        <c:axId val="1780627759"/>
      </c:barChart>
      <c:catAx>
        <c:axId val="17878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627759"/>
        <c:crosses val="autoZero"/>
        <c:auto val="1"/>
        <c:lblAlgn val="ctr"/>
        <c:lblOffset val="100"/>
        <c:noMultiLvlLbl val="0"/>
      </c:catAx>
      <c:valAx>
        <c:axId val="17806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6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0</xdr:row>
      <xdr:rowOff>0</xdr:rowOff>
    </xdr:from>
    <xdr:to>
      <xdr:col>10</xdr:col>
      <xdr:colOff>441960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A8157-4531-F422-E2CD-EF4611CA2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502920</xdr:colOff>
      <xdr:row>0</xdr:row>
      <xdr:rowOff>83820</xdr:rowOff>
    </xdr:from>
    <xdr:to>
      <xdr:col>20</xdr:col>
      <xdr:colOff>236220</xdr:colOff>
      <xdr:row>16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1DC93-1931-E3A4-D19C-8F432F335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554182</xdr:colOff>
      <xdr:row>19</xdr:row>
      <xdr:rowOff>118753</xdr:rowOff>
    </xdr:from>
    <xdr:to>
      <xdr:col>10</xdr:col>
      <xdr:colOff>425532</xdr:colOff>
      <xdr:row>43</xdr:row>
      <xdr:rowOff>118754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28CB6E-5979-DC7E-B2DC-A48648D53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4</xdr:row>
      <xdr:rowOff>0</xdr:rowOff>
    </xdr:from>
    <xdr:to>
      <xdr:col>7</xdr:col>
      <xdr:colOff>441961</xdr:colOff>
      <xdr:row>18</xdr:row>
      <xdr:rowOff>78278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4A273-2931-4084-B43D-6135AFB8A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350520</xdr:colOff>
      <xdr:row>3</xdr:row>
      <xdr:rowOff>38100</xdr:rowOff>
    </xdr:from>
    <xdr:to>
      <xdr:col>15</xdr:col>
      <xdr:colOff>518160</xdr:colOff>
      <xdr:row>18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CCE384-939E-4E50-9557-933B0CD99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23</xdr:row>
      <xdr:rowOff>167641</xdr:rowOff>
    </xdr:from>
    <xdr:to>
      <xdr:col>11</xdr:col>
      <xdr:colOff>512618</xdr:colOff>
      <xdr:row>39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10E48D-0110-4C7F-BD16-67CAAB814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285.52083587963" createdVersion="8" refreshedVersion="8" minRefreshableVersion="3" recordCount="100" xr:uid="{856A44B6-A94F-4242-BE71-8E443918EC5D}">
  <cacheSource type="worksheet">
    <worksheetSource ref="A1:J101" sheet="CodeAlpha_Data_Analytics_Sales_"/>
  </cacheSource>
  <cacheFields count="10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09-30T00:00:00"/>
    </cacheField>
    <cacheField name="Product" numFmtId="0">
      <sharedItems count="8">
        <s v="Office Chair"/>
        <s v="Headphones"/>
        <s v="Laptop"/>
        <s v="Desk"/>
        <s v="Keyboard"/>
        <s v="Smartphone"/>
        <s v="Backpack"/>
        <s v="Mouse"/>
      </sharedItems>
    </cacheField>
    <cacheField name="Category" numFmtId="0">
      <sharedItems count="3">
        <s v="Furniture"/>
        <s v="Electronics"/>
        <s v="Accessories"/>
      </sharedItems>
    </cacheField>
    <cacheField name="Region" numFmtId="0">
      <sharedItems count="4">
        <s v="North"/>
        <s v="South"/>
        <s v="East"/>
        <s v="West"/>
      </sharedItems>
    </cacheField>
    <cacheField name="Customer_Type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containsInteger="1" minValue="855" maxValue="261250"/>
    </cacheField>
    <cacheField name="Profit" numFmtId="0">
      <sharedItems containsSemiMixedTypes="0" containsString="0" containsNumber="1" minValue="101.06" maxValue="52700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57"/>
    <d v="2026-01-01T00:00:00"/>
    <x v="0"/>
    <x v="0"/>
    <x v="0"/>
    <s v="Corporate"/>
    <n v="3"/>
    <n v="0"/>
    <n v="27000"/>
    <n v="5413.32"/>
  </r>
  <r>
    <s v="ORD0076"/>
    <d v="2026-01-14T00:00:00"/>
    <x v="1"/>
    <x v="1"/>
    <x v="1"/>
    <s v="Small Business"/>
    <n v="5"/>
    <n v="0"/>
    <n v="12500"/>
    <n v="2927.22"/>
  </r>
  <r>
    <s v="ORD0048"/>
    <d v="2026-01-21T00:00:00"/>
    <x v="2"/>
    <x v="1"/>
    <x v="2"/>
    <s v="Retail"/>
    <n v="3"/>
    <n v="0.1"/>
    <n v="148500"/>
    <n v="34574.79"/>
  </r>
  <r>
    <s v="ORD0015"/>
    <d v="2026-01-25T00:00:00"/>
    <x v="1"/>
    <x v="1"/>
    <x v="1"/>
    <s v="Retail"/>
    <n v="5"/>
    <n v="0.15"/>
    <n v="10625"/>
    <n v="1014.21"/>
  </r>
  <r>
    <s v="ORD0079"/>
    <d v="2026-01-27T00:00:00"/>
    <x v="3"/>
    <x v="0"/>
    <x v="2"/>
    <s v="Retail"/>
    <n v="1"/>
    <n v="0.15"/>
    <n v="10200"/>
    <n v="849.61"/>
  </r>
  <r>
    <s v="ORD0011"/>
    <d v="2026-01-29T00:00:00"/>
    <x v="4"/>
    <x v="2"/>
    <x v="0"/>
    <s v="Retail"/>
    <n v="3"/>
    <n v="0.05"/>
    <n v="5130"/>
    <n v="1007.45"/>
  </r>
  <r>
    <s v="ORD0025"/>
    <d v="2026-01-31T00:00:00"/>
    <x v="0"/>
    <x v="0"/>
    <x v="0"/>
    <s v="Retail"/>
    <n v="5"/>
    <n v="0.05"/>
    <n v="42750"/>
    <n v="3472.26"/>
  </r>
  <r>
    <s v="ORD0071"/>
    <d v="2026-02-02T00:00:00"/>
    <x v="0"/>
    <x v="0"/>
    <x v="3"/>
    <s v="Corporate"/>
    <n v="4"/>
    <n v="0.05"/>
    <n v="34200"/>
    <n v="6843.12"/>
  </r>
  <r>
    <s v="ORD0085"/>
    <d v="2026-02-05T00:00:00"/>
    <x v="2"/>
    <x v="1"/>
    <x v="2"/>
    <s v="Retail"/>
    <n v="3"/>
    <n v="0.15"/>
    <n v="140250"/>
    <n v="26992.32"/>
  </r>
  <r>
    <s v="ORD0007"/>
    <d v="2026-02-05T00:00:00"/>
    <x v="3"/>
    <x v="0"/>
    <x v="1"/>
    <s v="Small Business"/>
    <n v="5"/>
    <n v="0.1"/>
    <n v="54000"/>
    <n v="9620.09"/>
  </r>
  <r>
    <s v="ORD0064"/>
    <d v="2026-02-07T00:00:00"/>
    <x v="2"/>
    <x v="1"/>
    <x v="3"/>
    <s v="Corporate"/>
    <n v="1"/>
    <n v="0.05"/>
    <n v="52250"/>
    <n v="12919.81"/>
  </r>
  <r>
    <s v="ORD0070"/>
    <d v="2026-02-11T00:00:00"/>
    <x v="3"/>
    <x v="0"/>
    <x v="0"/>
    <s v="Retail"/>
    <n v="2"/>
    <n v="0.1"/>
    <n v="21600"/>
    <n v="2961.23"/>
  </r>
  <r>
    <s v="ORD0002"/>
    <d v="2026-02-17T00:00:00"/>
    <x v="5"/>
    <x v="1"/>
    <x v="0"/>
    <s v="Retail"/>
    <n v="5"/>
    <n v="0.15"/>
    <n v="106250"/>
    <n v="9074.07"/>
  </r>
  <r>
    <s v="ORD0005"/>
    <d v="2026-02-19T00:00:00"/>
    <x v="0"/>
    <x v="0"/>
    <x v="2"/>
    <s v="Corporate"/>
    <n v="3"/>
    <n v="0"/>
    <n v="27000"/>
    <n v="2585.6999999999998"/>
  </r>
  <r>
    <s v="ORD0031"/>
    <d v="2026-02-20T00:00:00"/>
    <x v="0"/>
    <x v="0"/>
    <x v="1"/>
    <s v="Small Business"/>
    <n v="1"/>
    <n v="0.15"/>
    <n v="7650"/>
    <n v="1662.83"/>
  </r>
  <r>
    <s v="ORD0039"/>
    <d v="2026-02-21T00:00:00"/>
    <x v="6"/>
    <x v="2"/>
    <x v="1"/>
    <s v="Small Business"/>
    <n v="1"/>
    <n v="0"/>
    <n v="1800"/>
    <n v="284.24"/>
  </r>
  <r>
    <s v="ORD0008"/>
    <d v="2026-02-21T00:00:00"/>
    <x v="0"/>
    <x v="0"/>
    <x v="3"/>
    <s v="Corporate"/>
    <n v="3"/>
    <n v="0"/>
    <n v="27000"/>
    <n v="6085.91"/>
  </r>
  <r>
    <s v="ORD0042"/>
    <d v="2026-02-24T00:00:00"/>
    <x v="3"/>
    <x v="0"/>
    <x v="0"/>
    <s v="Corporate"/>
    <n v="1"/>
    <n v="0.05"/>
    <n v="11400"/>
    <n v="1424.53"/>
  </r>
  <r>
    <s v="ORD0051"/>
    <d v="2026-02-25T00:00:00"/>
    <x v="0"/>
    <x v="0"/>
    <x v="3"/>
    <s v="Retail"/>
    <n v="3"/>
    <n v="0.05"/>
    <n v="25650"/>
    <n v="5485.35"/>
  </r>
  <r>
    <s v="ORD0046"/>
    <d v="2026-02-27T00:00:00"/>
    <x v="7"/>
    <x v="2"/>
    <x v="1"/>
    <s v="Small Business"/>
    <n v="5"/>
    <n v="0.15"/>
    <n v="3825"/>
    <n v="670.73"/>
  </r>
  <r>
    <s v="ORD0081"/>
    <d v="2026-02-28T00:00:00"/>
    <x v="1"/>
    <x v="1"/>
    <x v="0"/>
    <s v="Corporate"/>
    <n v="2"/>
    <n v="0.05"/>
    <n v="4750"/>
    <n v="762.4"/>
  </r>
  <r>
    <s v="ORD0082"/>
    <d v="2026-02-28T00:00:00"/>
    <x v="3"/>
    <x v="0"/>
    <x v="0"/>
    <s v="Corporate"/>
    <n v="3"/>
    <n v="0.05"/>
    <n v="34200"/>
    <n v="6258.66"/>
  </r>
  <r>
    <s v="ORD0058"/>
    <d v="2026-03-05T00:00:00"/>
    <x v="4"/>
    <x v="2"/>
    <x v="2"/>
    <s v="Small Business"/>
    <n v="1"/>
    <n v="0.1"/>
    <n v="1620"/>
    <n v="301.22000000000003"/>
  </r>
  <r>
    <s v="ORD0098"/>
    <d v="2026-03-06T00:00:00"/>
    <x v="6"/>
    <x v="2"/>
    <x v="2"/>
    <s v="Retail"/>
    <n v="2"/>
    <n v="0.1"/>
    <n v="3240"/>
    <n v="266.99"/>
  </r>
  <r>
    <s v="ORD0099"/>
    <d v="2026-03-06T00:00:00"/>
    <x v="2"/>
    <x v="1"/>
    <x v="3"/>
    <s v="Retail"/>
    <n v="5"/>
    <n v="0.1"/>
    <n v="247500"/>
    <n v="49143.839999999997"/>
  </r>
  <r>
    <s v="ORD0038"/>
    <d v="2026-03-09T00:00:00"/>
    <x v="0"/>
    <x v="0"/>
    <x v="2"/>
    <s v="Corporate"/>
    <n v="3"/>
    <n v="0.05"/>
    <n v="25650"/>
    <n v="3210.21"/>
  </r>
  <r>
    <s v="ORD0001"/>
    <d v="2026-03-13T00:00:00"/>
    <x v="5"/>
    <x v="1"/>
    <x v="1"/>
    <s v="Small Business"/>
    <n v="1"/>
    <n v="0.1"/>
    <n v="22500"/>
    <n v="2736.71"/>
  </r>
  <r>
    <s v="ORD0013"/>
    <d v="2026-03-13T00:00:00"/>
    <x v="7"/>
    <x v="2"/>
    <x v="0"/>
    <s v="Small Business"/>
    <n v="4"/>
    <n v="0.15"/>
    <n v="3060"/>
    <n v="319.12"/>
  </r>
  <r>
    <s v="ORD0047"/>
    <d v="2026-03-17T00:00:00"/>
    <x v="1"/>
    <x v="1"/>
    <x v="3"/>
    <s v="Retail"/>
    <n v="5"/>
    <n v="0"/>
    <n v="12500"/>
    <n v="2773.51"/>
  </r>
  <r>
    <s v="ORD0065"/>
    <d v="2026-03-17T00:00:00"/>
    <x v="0"/>
    <x v="0"/>
    <x v="1"/>
    <s v="Retail"/>
    <n v="4"/>
    <n v="0.15"/>
    <n v="30600"/>
    <n v="4526.99"/>
  </r>
  <r>
    <s v="ORD0019"/>
    <d v="2026-03-24T00:00:00"/>
    <x v="5"/>
    <x v="1"/>
    <x v="1"/>
    <s v="Small Business"/>
    <n v="3"/>
    <n v="0.05"/>
    <n v="71250"/>
    <n v="7551.27"/>
  </r>
  <r>
    <s v="ORD0022"/>
    <d v="2026-03-26T00:00:00"/>
    <x v="1"/>
    <x v="1"/>
    <x v="2"/>
    <s v="Small Business"/>
    <n v="2"/>
    <n v="0.15"/>
    <n v="4250"/>
    <n v="1024.0999999999999"/>
  </r>
  <r>
    <s v="ORD0062"/>
    <d v="2026-03-28T00:00:00"/>
    <x v="7"/>
    <x v="2"/>
    <x v="1"/>
    <s v="Corporate"/>
    <n v="2"/>
    <n v="0.15"/>
    <n v="1530"/>
    <n v="328.85"/>
  </r>
  <r>
    <s v="ORD0030"/>
    <d v="2026-04-04T00:00:00"/>
    <x v="0"/>
    <x v="0"/>
    <x v="2"/>
    <s v="Corporate"/>
    <n v="2"/>
    <n v="0.15"/>
    <n v="15300"/>
    <n v="1588.61"/>
  </r>
  <r>
    <s v="ORD0096"/>
    <d v="2026-04-05T00:00:00"/>
    <x v="0"/>
    <x v="0"/>
    <x v="0"/>
    <s v="Retail"/>
    <n v="3"/>
    <n v="0"/>
    <n v="27000"/>
    <n v="5569.82"/>
  </r>
  <r>
    <s v="ORD0097"/>
    <d v="2026-04-10T00:00:00"/>
    <x v="7"/>
    <x v="2"/>
    <x v="2"/>
    <s v="Retail"/>
    <n v="3"/>
    <n v="0.1"/>
    <n v="2430"/>
    <n v="599.45000000000005"/>
  </r>
  <r>
    <s v="ORD0080"/>
    <d v="2026-04-13T00:00:00"/>
    <x v="5"/>
    <x v="1"/>
    <x v="1"/>
    <s v="Small Business"/>
    <n v="1"/>
    <n v="0"/>
    <n v="25000"/>
    <n v="6035.85"/>
  </r>
  <r>
    <s v="ORD0043"/>
    <d v="2026-04-15T00:00:00"/>
    <x v="3"/>
    <x v="0"/>
    <x v="2"/>
    <s v="Small Business"/>
    <n v="5"/>
    <n v="0.05"/>
    <n v="57000"/>
    <n v="11513.66"/>
  </r>
  <r>
    <s v="ORD0072"/>
    <d v="2026-04-16T00:00:00"/>
    <x v="6"/>
    <x v="2"/>
    <x v="3"/>
    <s v="Corporate"/>
    <n v="5"/>
    <n v="0.15"/>
    <n v="7650"/>
    <n v="1152.71"/>
  </r>
  <r>
    <s v="ORD0009"/>
    <d v="2026-04-18T00:00:00"/>
    <x v="7"/>
    <x v="2"/>
    <x v="2"/>
    <s v="Small Business"/>
    <n v="3"/>
    <n v="0.05"/>
    <n v="2565"/>
    <n v="366.62"/>
  </r>
  <r>
    <s v="ORD0093"/>
    <d v="2026-04-24T00:00:00"/>
    <x v="7"/>
    <x v="2"/>
    <x v="3"/>
    <s v="Small Business"/>
    <n v="4"/>
    <n v="0"/>
    <n v="3600"/>
    <n v="344.95"/>
  </r>
  <r>
    <s v="ORD0063"/>
    <d v="2026-04-26T00:00:00"/>
    <x v="6"/>
    <x v="2"/>
    <x v="0"/>
    <s v="Retail"/>
    <n v="1"/>
    <n v="0.05"/>
    <n v="1710"/>
    <n v="332.38"/>
  </r>
  <r>
    <s v="ORD0036"/>
    <d v="2026-05-01T00:00:00"/>
    <x v="5"/>
    <x v="1"/>
    <x v="3"/>
    <s v="Retail"/>
    <n v="2"/>
    <n v="0"/>
    <n v="50000"/>
    <n v="9057.7999999999993"/>
  </r>
  <r>
    <s v="ORD0092"/>
    <d v="2026-05-04T00:00:00"/>
    <x v="0"/>
    <x v="0"/>
    <x v="3"/>
    <s v="Small Business"/>
    <n v="4"/>
    <n v="0.15"/>
    <n v="30600"/>
    <n v="5336.03"/>
  </r>
  <r>
    <s v="ORD0088"/>
    <d v="2026-05-06T00:00:00"/>
    <x v="4"/>
    <x v="2"/>
    <x v="1"/>
    <s v="Corporate"/>
    <n v="5"/>
    <n v="0.1"/>
    <n v="8100"/>
    <n v="1091.81"/>
  </r>
  <r>
    <s v="ORD0010"/>
    <d v="2026-05-06T00:00:00"/>
    <x v="5"/>
    <x v="1"/>
    <x v="0"/>
    <s v="Corporate"/>
    <n v="5"/>
    <n v="0.05"/>
    <n v="118750"/>
    <n v="20282.95"/>
  </r>
  <r>
    <s v="ORD0095"/>
    <d v="2026-05-09T00:00:00"/>
    <x v="6"/>
    <x v="2"/>
    <x v="0"/>
    <s v="Retail"/>
    <n v="3"/>
    <n v="0.15"/>
    <n v="4590"/>
    <n v="578.6"/>
  </r>
  <r>
    <s v="ORD0077"/>
    <d v="2026-05-14T00:00:00"/>
    <x v="4"/>
    <x v="2"/>
    <x v="3"/>
    <s v="Corporate"/>
    <n v="2"/>
    <n v="0.15"/>
    <n v="3060"/>
    <n v="339.34"/>
  </r>
  <r>
    <s v="ORD0045"/>
    <d v="2026-05-15T00:00:00"/>
    <x v="2"/>
    <x v="1"/>
    <x v="0"/>
    <s v="Small Business"/>
    <n v="3"/>
    <n v="0.05"/>
    <n v="156750"/>
    <n v="29517.48"/>
  </r>
  <r>
    <s v="ORD0018"/>
    <d v="2026-05-15T00:00:00"/>
    <x v="4"/>
    <x v="2"/>
    <x v="0"/>
    <s v="Small Business"/>
    <n v="2"/>
    <n v="0.15"/>
    <n v="3060"/>
    <n v="246.49"/>
  </r>
  <r>
    <s v="ORD0055"/>
    <d v="2026-05-16T00:00:00"/>
    <x v="5"/>
    <x v="1"/>
    <x v="1"/>
    <s v="Retail"/>
    <n v="3"/>
    <n v="0.05"/>
    <n v="71250"/>
    <n v="12732.39"/>
  </r>
  <r>
    <s v="ORD0087"/>
    <d v="2026-05-19T00:00:00"/>
    <x v="1"/>
    <x v="1"/>
    <x v="3"/>
    <s v="Corporate"/>
    <n v="4"/>
    <n v="0.05"/>
    <n v="9500"/>
    <n v="1945.08"/>
  </r>
  <r>
    <s v="ORD0074"/>
    <d v="2026-05-20T00:00:00"/>
    <x v="4"/>
    <x v="2"/>
    <x v="3"/>
    <s v="Corporate"/>
    <n v="5"/>
    <n v="0.05"/>
    <n v="8550"/>
    <n v="1393.64"/>
  </r>
  <r>
    <s v="ORD0069"/>
    <d v="2026-05-21T00:00:00"/>
    <x v="0"/>
    <x v="0"/>
    <x v="3"/>
    <s v="Retail"/>
    <n v="3"/>
    <n v="0.15"/>
    <n v="22950"/>
    <n v="4281.26"/>
  </r>
  <r>
    <s v="ORD0026"/>
    <d v="2026-05-23T00:00:00"/>
    <x v="2"/>
    <x v="1"/>
    <x v="3"/>
    <s v="Retail"/>
    <n v="3"/>
    <n v="0"/>
    <n v="165000"/>
    <n v="27622.080000000002"/>
  </r>
  <r>
    <s v="ORD0034"/>
    <d v="2026-06-01T00:00:00"/>
    <x v="3"/>
    <x v="0"/>
    <x v="0"/>
    <s v="Retail"/>
    <n v="4"/>
    <n v="0.15"/>
    <n v="40800"/>
    <n v="4337.67"/>
  </r>
  <r>
    <s v="ORD0059"/>
    <d v="2026-06-01T00:00:00"/>
    <x v="3"/>
    <x v="0"/>
    <x v="0"/>
    <s v="Retail"/>
    <n v="4"/>
    <n v="0.1"/>
    <n v="43200"/>
    <n v="6411.23"/>
  </r>
  <r>
    <s v="ORD0041"/>
    <d v="2026-06-04T00:00:00"/>
    <x v="6"/>
    <x v="2"/>
    <x v="1"/>
    <s v="Small Business"/>
    <n v="3"/>
    <n v="0.05"/>
    <n v="5130"/>
    <n v="792.54"/>
  </r>
  <r>
    <s v="ORD0060"/>
    <d v="2026-06-04T00:00:00"/>
    <x v="4"/>
    <x v="2"/>
    <x v="3"/>
    <s v="Small Business"/>
    <n v="4"/>
    <n v="0.05"/>
    <n v="6840"/>
    <n v="1262.92"/>
  </r>
  <r>
    <s v="ORD0084"/>
    <d v="2026-06-04T00:00:00"/>
    <x v="0"/>
    <x v="0"/>
    <x v="1"/>
    <s v="Small Business"/>
    <n v="1"/>
    <n v="0.05"/>
    <n v="8550"/>
    <n v="832.11"/>
  </r>
  <r>
    <s v="ORD0012"/>
    <d v="2026-06-11T00:00:00"/>
    <x v="6"/>
    <x v="2"/>
    <x v="0"/>
    <s v="Small Business"/>
    <n v="4"/>
    <n v="0.1"/>
    <n v="6480"/>
    <n v="591.30999999999995"/>
  </r>
  <r>
    <s v="ORD0061"/>
    <d v="2026-06-14T00:00:00"/>
    <x v="2"/>
    <x v="1"/>
    <x v="3"/>
    <s v="Corporate"/>
    <n v="3"/>
    <n v="0.1"/>
    <n v="148500"/>
    <n v="17186.060000000001"/>
  </r>
  <r>
    <s v="ORD0050"/>
    <d v="2026-06-20T00:00:00"/>
    <x v="1"/>
    <x v="1"/>
    <x v="3"/>
    <s v="Small Business"/>
    <n v="2"/>
    <n v="0.15"/>
    <n v="4250"/>
    <n v="357.91"/>
  </r>
  <r>
    <s v="ORD0024"/>
    <d v="2026-06-23T00:00:00"/>
    <x v="7"/>
    <x v="2"/>
    <x v="1"/>
    <s v="Small Business"/>
    <n v="1"/>
    <n v="0.05"/>
    <n v="855"/>
    <n v="101.06"/>
  </r>
  <r>
    <s v="ORD0029"/>
    <d v="2026-06-23T00:00:00"/>
    <x v="2"/>
    <x v="1"/>
    <x v="1"/>
    <s v="Retail"/>
    <n v="1"/>
    <n v="0"/>
    <n v="55000"/>
    <n v="8164.51"/>
  </r>
  <r>
    <s v="ORD0004"/>
    <d v="2026-06-24T00:00:00"/>
    <x v="3"/>
    <x v="0"/>
    <x v="2"/>
    <s v="Retail"/>
    <n v="1"/>
    <n v="0.05"/>
    <n v="11400"/>
    <n v="2264.9899999999998"/>
  </r>
  <r>
    <s v="ORD0017"/>
    <d v="2026-06-24T00:00:00"/>
    <x v="2"/>
    <x v="1"/>
    <x v="1"/>
    <s v="Corporate"/>
    <n v="1"/>
    <n v="0.1"/>
    <n v="49500"/>
    <n v="10427.76"/>
  </r>
  <r>
    <s v="ORD0040"/>
    <d v="2026-06-28T00:00:00"/>
    <x v="0"/>
    <x v="0"/>
    <x v="1"/>
    <s v="Retail"/>
    <n v="5"/>
    <n v="0.1"/>
    <n v="40500"/>
    <n v="4151.96"/>
  </r>
  <r>
    <s v="ORD0073"/>
    <d v="2026-06-30T00:00:00"/>
    <x v="2"/>
    <x v="1"/>
    <x v="2"/>
    <s v="Corporate"/>
    <n v="5"/>
    <n v="0.15"/>
    <n v="233750"/>
    <n v="37653.980000000003"/>
  </r>
  <r>
    <s v="ORD0090"/>
    <d v="2026-07-01T00:00:00"/>
    <x v="7"/>
    <x v="2"/>
    <x v="2"/>
    <s v="Corporate"/>
    <n v="3"/>
    <n v="0.05"/>
    <n v="2565"/>
    <n v="417.8"/>
  </r>
  <r>
    <s v="ORD0020"/>
    <d v="2026-07-05T00:00:00"/>
    <x v="6"/>
    <x v="2"/>
    <x v="2"/>
    <s v="Retail"/>
    <n v="4"/>
    <n v="0"/>
    <n v="7200"/>
    <n v="712.93"/>
  </r>
  <r>
    <s v="ORD0086"/>
    <d v="2026-07-05T00:00:00"/>
    <x v="4"/>
    <x v="2"/>
    <x v="3"/>
    <s v="Small Business"/>
    <n v="4"/>
    <n v="0"/>
    <n v="7200"/>
    <n v="1106.6300000000001"/>
  </r>
  <r>
    <s v="ORD0083"/>
    <d v="2026-07-12T00:00:00"/>
    <x v="5"/>
    <x v="1"/>
    <x v="3"/>
    <s v="Small Business"/>
    <n v="5"/>
    <n v="0"/>
    <n v="125000"/>
    <n v="29738.85"/>
  </r>
  <r>
    <s v="ORD0006"/>
    <d v="2026-07-13T00:00:00"/>
    <x v="3"/>
    <x v="0"/>
    <x v="1"/>
    <s v="Small Business"/>
    <n v="1"/>
    <n v="0.15"/>
    <n v="10200"/>
    <n v="1745.82"/>
  </r>
  <r>
    <s v="ORD0089"/>
    <d v="2026-07-14T00:00:00"/>
    <x v="7"/>
    <x v="2"/>
    <x v="2"/>
    <s v="Retail"/>
    <n v="2"/>
    <n v="0.15"/>
    <n v="1530"/>
    <n v="270.62"/>
  </r>
  <r>
    <s v="ORD0078"/>
    <d v="2026-07-14T00:00:00"/>
    <x v="0"/>
    <x v="0"/>
    <x v="2"/>
    <s v="Corporate"/>
    <n v="4"/>
    <n v="0.1"/>
    <n v="32400"/>
    <n v="4450.95"/>
  </r>
  <r>
    <s v="ORD0033"/>
    <d v="2026-07-19T00:00:00"/>
    <x v="4"/>
    <x v="2"/>
    <x v="2"/>
    <s v="Corporate"/>
    <n v="1"/>
    <n v="0.05"/>
    <n v="1710"/>
    <n v="246.97"/>
  </r>
  <r>
    <s v="ORD0023"/>
    <d v="2026-07-24T00:00:00"/>
    <x v="4"/>
    <x v="2"/>
    <x v="2"/>
    <s v="Corporate"/>
    <n v="2"/>
    <n v="0.05"/>
    <n v="3420"/>
    <n v="688.11"/>
  </r>
  <r>
    <s v="ORD0054"/>
    <d v="2026-07-24T00:00:00"/>
    <x v="5"/>
    <x v="1"/>
    <x v="2"/>
    <s v="Retail"/>
    <n v="3"/>
    <n v="0.1"/>
    <n v="67500"/>
    <n v="12761"/>
  </r>
  <r>
    <s v="ORD0014"/>
    <d v="2026-07-24T00:00:00"/>
    <x v="3"/>
    <x v="0"/>
    <x v="2"/>
    <s v="Retail"/>
    <n v="5"/>
    <n v="0.15"/>
    <n v="51000"/>
    <n v="11864.12"/>
  </r>
  <r>
    <s v="ORD0053"/>
    <d v="2026-07-24T00:00:00"/>
    <x v="0"/>
    <x v="0"/>
    <x v="2"/>
    <s v="Corporate"/>
    <n v="2"/>
    <n v="0"/>
    <n v="18000"/>
    <n v="3459.7"/>
  </r>
  <r>
    <s v="ORD0075"/>
    <d v="2026-07-27T00:00:00"/>
    <x v="2"/>
    <x v="1"/>
    <x v="0"/>
    <s v="Corporate"/>
    <n v="4"/>
    <n v="0.1"/>
    <n v="198000"/>
    <n v="38354.29"/>
  </r>
  <r>
    <s v="ORD0049"/>
    <d v="2026-07-28T00:00:00"/>
    <x v="0"/>
    <x v="0"/>
    <x v="0"/>
    <s v="Retail"/>
    <n v="1"/>
    <n v="0.1"/>
    <n v="8100"/>
    <n v="1722.22"/>
  </r>
  <r>
    <s v="ORD0028"/>
    <d v="2026-07-30T00:00:00"/>
    <x v="5"/>
    <x v="1"/>
    <x v="3"/>
    <s v="Small Business"/>
    <n v="1"/>
    <n v="0.15"/>
    <n v="21250"/>
    <n v="2979.9"/>
  </r>
  <r>
    <s v="ORD0003"/>
    <d v="2026-08-03T00:00:00"/>
    <x v="2"/>
    <x v="1"/>
    <x v="0"/>
    <s v="Corporate"/>
    <n v="5"/>
    <n v="0.05"/>
    <n v="261250"/>
    <n v="52700.22"/>
  </r>
  <r>
    <s v="ORD0037"/>
    <d v="2026-08-03T00:00:00"/>
    <x v="0"/>
    <x v="0"/>
    <x v="2"/>
    <s v="Corporate"/>
    <n v="5"/>
    <n v="0"/>
    <n v="45000"/>
    <n v="8338.27"/>
  </r>
  <r>
    <s v="ORD0044"/>
    <d v="2026-08-05T00:00:00"/>
    <x v="7"/>
    <x v="2"/>
    <x v="2"/>
    <s v="Retail"/>
    <n v="3"/>
    <n v="0"/>
    <n v="2700"/>
    <n v="258.36"/>
  </r>
  <r>
    <s v="ORD0100"/>
    <d v="2026-08-14T00:00:00"/>
    <x v="2"/>
    <x v="1"/>
    <x v="2"/>
    <s v="Retail"/>
    <n v="5"/>
    <n v="0.1"/>
    <n v="247500"/>
    <n v="39549.879999999997"/>
  </r>
  <r>
    <s v="ORD0052"/>
    <d v="2026-08-24T00:00:00"/>
    <x v="7"/>
    <x v="2"/>
    <x v="2"/>
    <s v="Corporate"/>
    <n v="2"/>
    <n v="0.05"/>
    <n v="1710"/>
    <n v="374.18"/>
  </r>
  <r>
    <s v="ORD0067"/>
    <d v="2026-08-26T00:00:00"/>
    <x v="0"/>
    <x v="0"/>
    <x v="2"/>
    <s v="Corporate"/>
    <n v="1"/>
    <n v="0.15"/>
    <n v="7650"/>
    <n v="785.41"/>
  </r>
  <r>
    <s v="ORD0016"/>
    <d v="2026-08-28T00:00:00"/>
    <x v="1"/>
    <x v="1"/>
    <x v="2"/>
    <s v="Small Business"/>
    <n v="4"/>
    <n v="0"/>
    <n v="10000"/>
    <n v="1454.1"/>
  </r>
  <r>
    <s v="ORD0027"/>
    <d v="2026-08-31T00:00:00"/>
    <x v="1"/>
    <x v="1"/>
    <x v="3"/>
    <s v="Retail"/>
    <n v="5"/>
    <n v="0.15"/>
    <n v="10625"/>
    <n v="1288.9100000000001"/>
  </r>
  <r>
    <s v="ORD0068"/>
    <d v="2026-09-01T00:00:00"/>
    <x v="4"/>
    <x v="2"/>
    <x v="3"/>
    <s v="Corporate"/>
    <n v="5"/>
    <n v="0.15"/>
    <n v="7650"/>
    <n v="1778.82"/>
  </r>
  <r>
    <s v="ORD0035"/>
    <d v="2026-09-02T00:00:00"/>
    <x v="2"/>
    <x v="1"/>
    <x v="0"/>
    <s v="Retail"/>
    <n v="3"/>
    <n v="0"/>
    <n v="165000"/>
    <n v="14606.49"/>
  </r>
  <r>
    <s v="ORD0032"/>
    <d v="2026-09-06T00:00:00"/>
    <x v="2"/>
    <x v="1"/>
    <x v="3"/>
    <s v="Retail"/>
    <n v="1"/>
    <n v="0.05"/>
    <n v="52250"/>
    <n v="5657.26"/>
  </r>
  <r>
    <s v="ORD0021"/>
    <d v="2026-09-06T00:00:00"/>
    <x v="2"/>
    <x v="1"/>
    <x v="1"/>
    <s v="Small Business"/>
    <n v="2"/>
    <n v="0"/>
    <n v="110000"/>
    <n v="10401.719999999999"/>
  </r>
  <r>
    <s v="ORD0056"/>
    <d v="2026-09-19T00:00:00"/>
    <x v="4"/>
    <x v="2"/>
    <x v="1"/>
    <s v="Corporate"/>
    <n v="3"/>
    <n v="0.1"/>
    <n v="4860"/>
    <n v="749.35"/>
  </r>
  <r>
    <s v="ORD0091"/>
    <d v="2026-09-22T00:00:00"/>
    <x v="3"/>
    <x v="0"/>
    <x v="0"/>
    <s v="Retail"/>
    <n v="5"/>
    <n v="0.1"/>
    <n v="54000"/>
    <n v="9422.16"/>
  </r>
  <r>
    <s v="ORD0066"/>
    <d v="2026-09-23T00:00:00"/>
    <x v="4"/>
    <x v="2"/>
    <x v="3"/>
    <s v="Retail"/>
    <n v="2"/>
    <n v="0.05"/>
    <n v="3420"/>
    <n v="741.11"/>
  </r>
  <r>
    <s v="ORD0094"/>
    <d v="2026-09-29T00:00:00"/>
    <x v="0"/>
    <x v="0"/>
    <x v="2"/>
    <s v="Corporate"/>
    <n v="3"/>
    <n v="0.1"/>
    <n v="24300"/>
    <n v="3899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52A7A-C399-4C10-85A0-E9B72D3B2E5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8" firstHeaderRow="1" firstDataRow="1" firstDataCol="1"/>
  <pivotFields count="10">
    <pivotField showAll="0"/>
    <pivotField numFmtId="14" showAll="0"/>
    <pivotField showAll="0">
      <items count="9">
        <item x="6"/>
        <item x="3"/>
        <item x="1"/>
        <item x="4"/>
        <item x="2"/>
        <item x="7"/>
        <item x="0"/>
        <item x="5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1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8057-5F25-4AD8-85F7-D4A5AE97AF42}">
  <dimension ref="A3:V50"/>
  <sheetViews>
    <sheetView zoomScale="77" workbookViewId="0">
      <selection activeCell="J19" sqref="J19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137</v>
      </c>
      <c r="B3" t="s">
        <v>139</v>
      </c>
    </row>
    <row r="4" spans="1:2" x14ac:dyDescent="0.3">
      <c r="A4" s="4" t="s">
        <v>22</v>
      </c>
      <c r="B4" s="5">
        <v>1207340</v>
      </c>
    </row>
    <row r="5" spans="1:2" x14ac:dyDescent="0.3">
      <c r="A5" s="4" t="s">
        <v>13</v>
      </c>
      <c r="B5" s="5">
        <v>1344830</v>
      </c>
    </row>
    <row r="6" spans="1:2" x14ac:dyDescent="0.3">
      <c r="A6" s="4" t="s">
        <v>18</v>
      </c>
      <c r="B6" s="5">
        <v>605225</v>
      </c>
    </row>
    <row r="7" spans="1:2" x14ac:dyDescent="0.3">
      <c r="A7" s="4" t="s">
        <v>32</v>
      </c>
      <c r="B7" s="5">
        <v>1086995</v>
      </c>
    </row>
    <row r="8" spans="1:2" x14ac:dyDescent="0.3">
      <c r="A8" s="4" t="s">
        <v>138</v>
      </c>
      <c r="B8" s="5">
        <v>4244390</v>
      </c>
    </row>
    <row r="15" spans="1:2" x14ac:dyDescent="0.3">
      <c r="A15" t="s">
        <v>140</v>
      </c>
    </row>
    <row r="16" spans="1:2" x14ac:dyDescent="0.3">
      <c r="A16" t="s">
        <v>141</v>
      </c>
    </row>
    <row r="17" spans="1:22" x14ac:dyDescent="0.3">
      <c r="A17" t="s">
        <v>142</v>
      </c>
    </row>
    <row r="18" spans="1:22" x14ac:dyDescent="0.3">
      <c r="A18" t="s">
        <v>143</v>
      </c>
    </row>
    <row r="19" spans="1:22" x14ac:dyDescent="0.3">
      <c r="A19" t="s">
        <v>144</v>
      </c>
      <c r="V19" s="2"/>
    </row>
    <row r="20" spans="1:22" x14ac:dyDescent="0.3">
      <c r="V20" s="2"/>
    </row>
    <row r="21" spans="1:22" x14ac:dyDescent="0.3">
      <c r="V21" s="2"/>
    </row>
    <row r="22" spans="1:22" x14ac:dyDescent="0.3">
      <c r="V22" s="2"/>
    </row>
    <row r="46" spans="1:4" x14ac:dyDescent="0.3">
      <c r="A46" s="6" t="s">
        <v>145</v>
      </c>
    </row>
    <row r="47" spans="1:4" x14ac:dyDescent="0.3">
      <c r="A47" t="s">
        <v>146</v>
      </c>
    </row>
    <row r="48" spans="1:4" x14ac:dyDescent="0.3">
      <c r="A48" s="6" t="s">
        <v>148</v>
      </c>
      <c r="B48" s="6"/>
      <c r="C48" s="6"/>
      <c r="D48" s="6"/>
    </row>
    <row r="49" spans="1:4" x14ac:dyDescent="0.3">
      <c r="A49" s="6" t="s">
        <v>147</v>
      </c>
      <c r="B49" s="6"/>
      <c r="C49" s="6"/>
      <c r="D49" s="6"/>
    </row>
    <row r="50" spans="1:4" x14ac:dyDescent="0.3">
      <c r="A50" s="6" t="s">
        <v>144</v>
      </c>
      <c r="B50" s="6"/>
      <c r="C50" s="6"/>
      <c r="D50" s="6"/>
    </row>
  </sheetData>
  <phoneticPr fontId="18" type="noConversion"/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803C-124A-4C01-AF4F-5493DF70770D}">
  <dimension ref="A1"/>
  <sheetViews>
    <sheetView tabSelected="1" topLeftCell="A14" workbookViewId="0">
      <selection activeCell="J22" sqref="J22"/>
    </sheetView>
  </sheetViews>
  <sheetFormatPr defaultRowHeight="14.4" x14ac:dyDescent="0.3"/>
  <sheetData>
    <row r="1" spans="1:1" x14ac:dyDescent="0.3">
      <c r="A1" s="2" t="s">
        <v>149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13F3-1437-40F1-89FB-9016784DC924}">
  <dimension ref="A1:L101"/>
  <sheetViews>
    <sheetView workbookViewId="0">
      <selection activeCell="M15" sqref="M15"/>
    </sheetView>
  </sheetViews>
  <sheetFormatPr defaultRowHeight="14.4" x14ac:dyDescent="0.3"/>
  <cols>
    <col min="2" max="2" width="10.332031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128</v>
      </c>
    </row>
    <row r="2" spans="1:12" x14ac:dyDescent="0.3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>
        <v>0</v>
      </c>
      <c r="I2">
        <v>27000</v>
      </c>
      <c r="J2">
        <v>5413.32</v>
      </c>
      <c r="K2" t="s">
        <v>129</v>
      </c>
      <c r="L2">
        <f>SUM(I2:I101)</f>
        <v>4244390</v>
      </c>
    </row>
    <row r="3" spans="1:12" x14ac:dyDescent="0.3">
      <c r="A3" t="s">
        <v>15</v>
      </c>
      <c r="B3" s="1">
        <v>46036</v>
      </c>
      <c r="C3" t="s">
        <v>16</v>
      </c>
      <c r="D3" t="s">
        <v>17</v>
      </c>
      <c r="E3" t="s">
        <v>18</v>
      </c>
      <c r="F3" t="s">
        <v>19</v>
      </c>
      <c r="G3">
        <v>5</v>
      </c>
      <c r="H3">
        <v>0</v>
      </c>
      <c r="I3">
        <v>12500</v>
      </c>
      <c r="J3">
        <v>2927.22</v>
      </c>
      <c r="K3" t="s">
        <v>130</v>
      </c>
      <c r="L3">
        <f>AVERAGE(I2:I101)</f>
        <v>42443.9</v>
      </c>
    </row>
    <row r="4" spans="1:12" x14ac:dyDescent="0.3">
      <c r="A4" t="s">
        <v>20</v>
      </c>
      <c r="B4" s="1">
        <v>46043</v>
      </c>
      <c r="C4" t="s">
        <v>21</v>
      </c>
      <c r="D4" t="s">
        <v>17</v>
      </c>
      <c r="E4" t="s">
        <v>22</v>
      </c>
      <c r="F4" t="s">
        <v>23</v>
      </c>
      <c r="G4">
        <v>3</v>
      </c>
      <c r="H4">
        <v>0.1</v>
      </c>
      <c r="I4">
        <v>148500</v>
      </c>
      <c r="J4">
        <v>34574.79</v>
      </c>
      <c r="K4" t="s">
        <v>131</v>
      </c>
      <c r="L4">
        <f>MIN(I2:I101)</f>
        <v>855</v>
      </c>
    </row>
    <row r="5" spans="1:12" x14ac:dyDescent="0.3">
      <c r="A5" t="s">
        <v>24</v>
      </c>
      <c r="B5" s="1">
        <v>46047</v>
      </c>
      <c r="C5" t="s">
        <v>16</v>
      </c>
      <c r="D5" t="s">
        <v>17</v>
      </c>
      <c r="E5" t="s">
        <v>18</v>
      </c>
      <c r="F5" t="s">
        <v>23</v>
      </c>
      <c r="G5">
        <v>5</v>
      </c>
      <c r="H5">
        <v>0.15</v>
      </c>
      <c r="I5">
        <v>10625</v>
      </c>
      <c r="J5">
        <v>1014.21</v>
      </c>
      <c r="K5" t="s">
        <v>132</v>
      </c>
      <c r="L5">
        <f>MAX(I2:I101)</f>
        <v>261250</v>
      </c>
    </row>
    <row r="6" spans="1:12" x14ac:dyDescent="0.3">
      <c r="A6" t="s">
        <v>25</v>
      </c>
      <c r="B6" s="1">
        <v>46049</v>
      </c>
      <c r="C6" t="s">
        <v>26</v>
      </c>
      <c r="D6" t="s">
        <v>12</v>
      </c>
      <c r="E6" t="s">
        <v>22</v>
      </c>
      <c r="F6" t="s">
        <v>23</v>
      </c>
      <c r="G6">
        <v>1</v>
      </c>
      <c r="H6">
        <v>0.15</v>
      </c>
      <c r="I6">
        <v>10200</v>
      </c>
      <c r="J6">
        <v>849.61</v>
      </c>
      <c r="K6" t="s">
        <v>133</v>
      </c>
      <c r="L6">
        <f>SUM(J2:J101)</f>
        <v>714062.85999999987</v>
      </c>
    </row>
    <row r="7" spans="1:12" x14ac:dyDescent="0.3">
      <c r="A7" t="s">
        <v>27</v>
      </c>
      <c r="B7" s="1">
        <v>46051</v>
      </c>
      <c r="C7" t="s">
        <v>28</v>
      </c>
      <c r="D7" t="s">
        <v>29</v>
      </c>
      <c r="E7" t="s">
        <v>13</v>
      </c>
      <c r="F7" t="s">
        <v>23</v>
      </c>
      <c r="G7">
        <v>3</v>
      </c>
      <c r="H7">
        <v>0.05</v>
      </c>
      <c r="I7">
        <v>5130</v>
      </c>
      <c r="J7">
        <v>1007.45</v>
      </c>
      <c r="K7" t="s">
        <v>134</v>
      </c>
      <c r="L7">
        <f>AVERAGE(J2:J101)</f>
        <v>7140.6285999999991</v>
      </c>
    </row>
    <row r="8" spans="1:12" x14ac:dyDescent="0.3">
      <c r="A8" t="s">
        <v>30</v>
      </c>
      <c r="B8" s="1">
        <v>46053</v>
      </c>
      <c r="C8" t="s">
        <v>11</v>
      </c>
      <c r="D8" t="s">
        <v>12</v>
      </c>
      <c r="E8" t="s">
        <v>13</v>
      </c>
      <c r="F8" t="s">
        <v>23</v>
      </c>
      <c r="G8">
        <v>5</v>
      </c>
      <c r="H8">
        <v>0.05</v>
      </c>
      <c r="I8">
        <v>42750</v>
      </c>
      <c r="J8">
        <v>3472.26</v>
      </c>
      <c r="K8" t="s">
        <v>135</v>
      </c>
      <c r="L8">
        <f>MIN(J2:J101)</f>
        <v>101.06</v>
      </c>
    </row>
    <row r="9" spans="1:12" x14ac:dyDescent="0.3">
      <c r="A9" t="s">
        <v>31</v>
      </c>
      <c r="B9" s="1">
        <v>46055</v>
      </c>
      <c r="C9" t="s">
        <v>11</v>
      </c>
      <c r="D9" t="s">
        <v>12</v>
      </c>
      <c r="E9" t="s">
        <v>32</v>
      </c>
      <c r="F9" t="s">
        <v>14</v>
      </c>
      <c r="G9">
        <v>4</v>
      </c>
      <c r="H9">
        <v>0.05</v>
      </c>
      <c r="I9">
        <v>34200</v>
      </c>
      <c r="J9">
        <v>6843.12</v>
      </c>
      <c r="K9" t="s">
        <v>136</v>
      </c>
      <c r="L9">
        <f>MAX(J2:J101)</f>
        <v>52700.22</v>
      </c>
    </row>
    <row r="10" spans="1:12" x14ac:dyDescent="0.3">
      <c r="A10" t="s">
        <v>33</v>
      </c>
      <c r="B10" s="1">
        <v>46058</v>
      </c>
      <c r="C10" t="s">
        <v>21</v>
      </c>
      <c r="D10" t="s">
        <v>17</v>
      </c>
      <c r="E10" t="s">
        <v>22</v>
      </c>
      <c r="F10" t="s">
        <v>23</v>
      </c>
      <c r="G10">
        <v>3</v>
      </c>
      <c r="H10">
        <v>0.15</v>
      </c>
      <c r="I10">
        <v>140250</v>
      </c>
      <c r="J10">
        <v>26992.32</v>
      </c>
    </row>
    <row r="11" spans="1:12" x14ac:dyDescent="0.3">
      <c r="A11" t="s">
        <v>34</v>
      </c>
      <c r="B11" s="1">
        <v>46058</v>
      </c>
      <c r="C11" t="s">
        <v>26</v>
      </c>
      <c r="D11" t="s">
        <v>12</v>
      </c>
      <c r="E11" t="s">
        <v>18</v>
      </c>
      <c r="F11" t="s">
        <v>19</v>
      </c>
      <c r="G11">
        <v>5</v>
      </c>
      <c r="H11">
        <v>0.1</v>
      </c>
      <c r="I11">
        <v>54000</v>
      </c>
      <c r="J11">
        <v>9620.09</v>
      </c>
    </row>
    <row r="12" spans="1:12" x14ac:dyDescent="0.3">
      <c r="A12" t="s">
        <v>35</v>
      </c>
      <c r="B12" s="1">
        <v>46060</v>
      </c>
      <c r="C12" t="s">
        <v>21</v>
      </c>
      <c r="D12" t="s">
        <v>17</v>
      </c>
      <c r="E12" t="s">
        <v>32</v>
      </c>
      <c r="F12" t="s">
        <v>14</v>
      </c>
      <c r="G12">
        <v>1</v>
      </c>
      <c r="H12">
        <v>0.05</v>
      </c>
      <c r="I12">
        <v>52250</v>
      </c>
      <c r="J12">
        <v>12919.81</v>
      </c>
    </row>
    <row r="13" spans="1:12" x14ac:dyDescent="0.3">
      <c r="A13" t="s">
        <v>36</v>
      </c>
      <c r="B13" s="1">
        <v>46064</v>
      </c>
      <c r="C13" t="s">
        <v>26</v>
      </c>
      <c r="D13" t="s">
        <v>12</v>
      </c>
      <c r="E13" t="s">
        <v>13</v>
      </c>
      <c r="F13" t="s">
        <v>23</v>
      </c>
      <c r="G13">
        <v>2</v>
      </c>
      <c r="H13">
        <v>0.1</v>
      </c>
      <c r="I13">
        <v>21600</v>
      </c>
      <c r="J13">
        <v>2961.23</v>
      </c>
    </row>
    <row r="14" spans="1:12" x14ac:dyDescent="0.3">
      <c r="A14" t="s">
        <v>37</v>
      </c>
      <c r="B14" s="1">
        <v>46070</v>
      </c>
      <c r="C14" t="s">
        <v>38</v>
      </c>
      <c r="D14" t="s">
        <v>17</v>
      </c>
      <c r="E14" t="s">
        <v>13</v>
      </c>
      <c r="F14" t="s">
        <v>23</v>
      </c>
      <c r="G14">
        <v>5</v>
      </c>
      <c r="H14">
        <v>0.15</v>
      </c>
      <c r="I14">
        <v>106250</v>
      </c>
      <c r="J14">
        <v>9074.07</v>
      </c>
    </row>
    <row r="15" spans="1:12" x14ac:dyDescent="0.3">
      <c r="A15" t="s">
        <v>39</v>
      </c>
      <c r="B15" s="1">
        <v>46072</v>
      </c>
      <c r="C15" t="s">
        <v>11</v>
      </c>
      <c r="D15" t="s">
        <v>12</v>
      </c>
      <c r="E15" t="s">
        <v>22</v>
      </c>
      <c r="F15" t="s">
        <v>14</v>
      </c>
      <c r="G15">
        <v>3</v>
      </c>
      <c r="H15">
        <v>0</v>
      </c>
      <c r="I15">
        <v>27000</v>
      </c>
      <c r="J15">
        <v>2585.6999999999998</v>
      </c>
    </row>
    <row r="16" spans="1:12" x14ac:dyDescent="0.3">
      <c r="A16" t="s">
        <v>40</v>
      </c>
      <c r="B16" s="1">
        <v>46073</v>
      </c>
      <c r="C16" t="s">
        <v>11</v>
      </c>
      <c r="D16" t="s">
        <v>12</v>
      </c>
      <c r="E16" t="s">
        <v>18</v>
      </c>
      <c r="F16" t="s">
        <v>19</v>
      </c>
      <c r="G16">
        <v>1</v>
      </c>
      <c r="H16">
        <v>0.15</v>
      </c>
      <c r="I16">
        <v>7650</v>
      </c>
      <c r="J16">
        <v>1662.83</v>
      </c>
    </row>
    <row r="17" spans="1:10" x14ac:dyDescent="0.3">
      <c r="A17" t="s">
        <v>41</v>
      </c>
      <c r="B17" s="1">
        <v>46074</v>
      </c>
      <c r="C17" t="s">
        <v>42</v>
      </c>
      <c r="D17" t="s">
        <v>29</v>
      </c>
      <c r="E17" t="s">
        <v>18</v>
      </c>
      <c r="F17" t="s">
        <v>19</v>
      </c>
      <c r="G17">
        <v>1</v>
      </c>
      <c r="H17">
        <v>0</v>
      </c>
      <c r="I17">
        <v>1800</v>
      </c>
      <c r="J17">
        <v>284.24</v>
      </c>
    </row>
    <row r="18" spans="1:10" x14ac:dyDescent="0.3">
      <c r="A18" t="s">
        <v>43</v>
      </c>
      <c r="B18" s="1">
        <v>46074</v>
      </c>
      <c r="C18" t="s">
        <v>11</v>
      </c>
      <c r="D18" t="s">
        <v>12</v>
      </c>
      <c r="E18" t="s">
        <v>32</v>
      </c>
      <c r="F18" t="s">
        <v>14</v>
      </c>
      <c r="G18">
        <v>3</v>
      </c>
      <c r="H18">
        <v>0</v>
      </c>
      <c r="I18">
        <v>27000</v>
      </c>
      <c r="J18">
        <v>6085.91</v>
      </c>
    </row>
    <row r="19" spans="1:10" x14ac:dyDescent="0.3">
      <c r="A19" t="s">
        <v>44</v>
      </c>
      <c r="B19" s="1">
        <v>46077</v>
      </c>
      <c r="C19" t="s">
        <v>26</v>
      </c>
      <c r="D19" t="s">
        <v>12</v>
      </c>
      <c r="E19" t="s">
        <v>13</v>
      </c>
      <c r="F19" t="s">
        <v>14</v>
      </c>
      <c r="G19">
        <v>1</v>
      </c>
      <c r="H19">
        <v>0.05</v>
      </c>
      <c r="I19">
        <v>11400</v>
      </c>
      <c r="J19">
        <v>1424.53</v>
      </c>
    </row>
    <row r="20" spans="1:10" x14ac:dyDescent="0.3">
      <c r="A20" t="s">
        <v>45</v>
      </c>
      <c r="B20" s="1">
        <v>46078</v>
      </c>
      <c r="C20" t="s">
        <v>11</v>
      </c>
      <c r="D20" t="s">
        <v>12</v>
      </c>
      <c r="E20" t="s">
        <v>32</v>
      </c>
      <c r="F20" t="s">
        <v>23</v>
      </c>
      <c r="G20">
        <v>3</v>
      </c>
      <c r="H20">
        <v>0.05</v>
      </c>
      <c r="I20">
        <v>25650</v>
      </c>
      <c r="J20">
        <v>5485.35</v>
      </c>
    </row>
    <row r="21" spans="1:10" x14ac:dyDescent="0.3">
      <c r="A21" t="s">
        <v>46</v>
      </c>
      <c r="B21" s="1">
        <v>46080</v>
      </c>
      <c r="C21" t="s">
        <v>47</v>
      </c>
      <c r="D21" t="s">
        <v>29</v>
      </c>
      <c r="E21" t="s">
        <v>18</v>
      </c>
      <c r="F21" t="s">
        <v>19</v>
      </c>
      <c r="G21">
        <v>5</v>
      </c>
      <c r="H21">
        <v>0.15</v>
      </c>
      <c r="I21">
        <v>3825</v>
      </c>
      <c r="J21">
        <v>670.73</v>
      </c>
    </row>
    <row r="22" spans="1:10" x14ac:dyDescent="0.3">
      <c r="A22" t="s">
        <v>48</v>
      </c>
      <c r="B22" s="1">
        <v>46081</v>
      </c>
      <c r="C22" t="s">
        <v>16</v>
      </c>
      <c r="D22" t="s">
        <v>17</v>
      </c>
      <c r="E22" t="s">
        <v>13</v>
      </c>
      <c r="F22" t="s">
        <v>14</v>
      </c>
      <c r="G22">
        <v>2</v>
      </c>
      <c r="H22">
        <v>0.05</v>
      </c>
      <c r="I22">
        <v>4750</v>
      </c>
      <c r="J22">
        <v>762.4</v>
      </c>
    </row>
    <row r="23" spans="1:10" x14ac:dyDescent="0.3">
      <c r="A23" t="s">
        <v>49</v>
      </c>
      <c r="B23" s="1">
        <v>46081</v>
      </c>
      <c r="C23" t="s">
        <v>26</v>
      </c>
      <c r="D23" t="s">
        <v>12</v>
      </c>
      <c r="E23" t="s">
        <v>13</v>
      </c>
      <c r="F23" t="s">
        <v>14</v>
      </c>
      <c r="G23">
        <v>3</v>
      </c>
      <c r="H23">
        <v>0.05</v>
      </c>
      <c r="I23">
        <v>34200</v>
      </c>
      <c r="J23">
        <v>6258.66</v>
      </c>
    </row>
    <row r="24" spans="1:10" x14ac:dyDescent="0.3">
      <c r="A24" t="s">
        <v>50</v>
      </c>
      <c r="B24" s="1">
        <v>46086</v>
      </c>
      <c r="C24" t="s">
        <v>28</v>
      </c>
      <c r="D24" t="s">
        <v>29</v>
      </c>
      <c r="E24" t="s">
        <v>22</v>
      </c>
      <c r="F24" t="s">
        <v>19</v>
      </c>
      <c r="G24">
        <v>1</v>
      </c>
      <c r="H24">
        <v>0.1</v>
      </c>
      <c r="I24">
        <v>1620</v>
      </c>
      <c r="J24">
        <v>301.22000000000003</v>
      </c>
    </row>
    <row r="25" spans="1:10" x14ac:dyDescent="0.3">
      <c r="A25" t="s">
        <v>51</v>
      </c>
      <c r="B25" s="1">
        <v>46087</v>
      </c>
      <c r="C25" t="s">
        <v>42</v>
      </c>
      <c r="D25" t="s">
        <v>29</v>
      </c>
      <c r="E25" t="s">
        <v>22</v>
      </c>
      <c r="F25" t="s">
        <v>23</v>
      </c>
      <c r="G25">
        <v>2</v>
      </c>
      <c r="H25">
        <v>0.1</v>
      </c>
      <c r="I25">
        <v>3240</v>
      </c>
      <c r="J25">
        <v>266.99</v>
      </c>
    </row>
    <row r="26" spans="1:10" x14ac:dyDescent="0.3">
      <c r="A26" t="s">
        <v>52</v>
      </c>
      <c r="B26" s="1">
        <v>46087</v>
      </c>
      <c r="C26" t="s">
        <v>21</v>
      </c>
      <c r="D26" t="s">
        <v>17</v>
      </c>
      <c r="E26" t="s">
        <v>32</v>
      </c>
      <c r="F26" t="s">
        <v>23</v>
      </c>
      <c r="G26">
        <v>5</v>
      </c>
      <c r="H26">
        <v>0.1</v>
      </c>
      <c r="I26">
        <v>247500</v>
      </c>
      <c r="J26">
        <v>49143.839999999997</v>
      </c>
    </row>
    <row r="27" spans="1:10" x14ac:dyDescent="0.3">
      <c r="A27" t="s">
        <v>53</v>
      </c>
      <c r="B27" s="1">
        <v>46090</v>
      </c>
      <c r="C27" t="s">
        <v>11</v>
      </c>
      <c r="D27" t="s">
        <v>12</v>
      </c>
      <c r="E27" t="s">
        <v>22</v>
      </c>
      <c r="F27" t="s">
        <v>14</v>
      </c>
      <c r="G27">
        <v>3</v>
      </c>
      <c r="H27">
        <v>0.05</v>
      </c>
      <c r="I27">
        <v>25650</v>
      </c>
      <c r="J27">
        <v>3210.21</v>
      </c>
    </row>
    <row r="28" spans="1:10" x14ac:dyDescent="0.3">
      <c r="A28" t="s">
        <v>54</v>
      </c>
      <c r="B28" s="1">
        <v>46094</v>
      </c>
      <c r="C28" t="s">
        <v>38</v>
      </c>
      <c r="D28" t="s">
        <v>17</v>
      </c>
      <c r="E28" t="s">
        <v>18</v>
      </c>
      <c r="F28" t="s">
        <v>19</v>
      </c>
      <c r="G28">
        <v>1</v>
      </c>
      <c r="H28">
        <v>0.1</v>
      </c>
      <c r="I28">
        <v>22500</v>
      </c>
      <c r="J28">
        <v>2736.71</v>
      </c>
    </row>
    <row r="29" spans="1:10" x14ac:dyDescent="0.3">
      <c r="A29" t="s">
        <v>55</v>
      </c>
      <c r="B29" s="1">
        <v>46094</v>
      </c>
      <c r="C29" t="s">
        <v>47</v>
      </c>
      <c r="D29" t="s">
        <v>29</v>
      </c>
      <c r="E29" t="s">
        <v>13</v>
      </c>
      <c r="F29" t="s">
        <v>19</v>
      </c>
      <c r="G29">
        <v>4</v>
      </c>
      <c r="H29">
        <v>0.15</v>
      </c>
      <c r="I29">
        <v>3060</v>
      </c>
      <c r="J29">
        <v>319.12</v>
      </c>
    </row>
    <row r="30" spans="1:10" x14ac:dyDescent="0.3">
      <c r="A30" t="s">
        <v>56</v>
      </c>
      <c r="B30" s="1">
        <v>46098</v>
      </c>
      <c r="C30" t="s">
        <v>16</v>
      </c>
      <c r="D30" t="s">
        <v>17</v>
      </c>
      <c r="E30" t="s">
        <v>32</v>
      </c>
      <c r="F30" t="s">
        <v>23</v>
      </c>
      <c r="G30">
        <v>5</v>
      </c>
      <c r="H30">
        <v>0</v>
      </c>
      <c r="I30">
        <v>12500</v>
      </c>
      <c r="J30">
        <v>2773.51</v>
      </c>
    </row>
    <row r="31" spans="1:10" x14ac:dyDescent="0.3">
      <c r="A31" t="s">
        <v>57</v>
      </c>
      <c r="B31" s="1">
        <v>46098</v>
      </c>
      <c r="C31" t="s">
        <v>11</v>
      </c>
      <c r="D31" t="s">
        <v>12</v>
      </c>
      <c r="E31" t="s">
        <v>18</v>
      </c>
      <c r="F31" t="s">
        <v>23</v>
      </c>
      <c r="G31">
        <v>4</v>
      </c>
      <c r="H31">
        <v>0.15</v>
      </c>
      <c r="I31">
        <v>30600</v>
      </c>
      <c r="J31">
        <v>4526.99</v>
      </c>
    </row>
    <row r="32" spans="1:10" x14ac:dyDescent="0.3">
      <c r="A32" t="s">
        <v>58</v>
      </c>
      <c r="B32" s="1">
        <v>46105</v>
      </c>
      <c r="C32" t="s">
        <v>38</v>
      </c>
      <c r="D32" t="s">
        <v>17</v>
      </c>
      <c r="E32" t="s">
        <v>18</v>
      </c>
      <c r="F32" t="s">
        <v>19</v>
      </c>
      <c r="G32">
        <v>3</v>
      </c>
      <c r="H32">
        <v>0.05</v>
      </c>
      <c r="I32">
        <v>71250</v>
      </c>
      <c r="J32">
        <v>7551.27</v>
      </c>
    </row>
    <row r="33" spans="1:10" x14ac:dyDescent="0.3">
      <c r="A33" t="s">
        <v>59</v>
      </c>
      <c r="B33" s="1">
        <v>46107</v>
      </c>
      <c r="C33" t="s">
        <v>16</v>
      </c>
      <c r="D33" t="s">
        <v>17</v>
      </c>
      <c r="E33" t="s">
        <v>22</v>
      </c>
      <c r="F33" t="s">
        <v>19</v>
      </c>
      <c r="G33">
        <v>2</v>
      </c>
      <c r="H33">
        <v>0.15</v>
      </c>
      <c r="I33">
        <v>4250</v>
      </c>
      <c r="J33">
        <v>1024.0999999999999</v>
      </c>
    </row>
    <row r="34" spans="1:10" x14ac:dyDescent="0.3">
      <c r="A34" t="s">
        <v>60</v>
      </c>
      <c r="B34" s="1">
        <v>46109</v>
      </c>
      <c r="C34" t="s">
        <v>47</v>
      </c>
      <c r="D34" t="s">
        <v>29</v>
      </c>
      <c r="E34" t="s">
        <v>18</v>
      </c>
      <c r="F34" t="s">
        <v>14</v>
      </c>
      <c r="G34">
        <v>2</v>
      </c>
      <c r="H34">
        <v>0.15</v>
      </c>
      <c r="I34">
        <v>1530</v>
      </c>
      <c r="J34">
        <v>328.85</v>
      </c>
    </row>
    <row r="35" spans="1:10" x14ac:dyDescent="0.3">
      <c r="A35" t="s">
        <v>61</v>
      </c>
      <c r="B35" s="1">
        <v>46116</v>
      </c>
      <c r="C35" t="s">
        <v>11</v>
      </c>
      <c r="D35" t="s">
        <v>12</v>
      </c>
      <c r="E35" t="s">
        <v>22</v>
      </c>
      <c r="F35" t="s">
        <v>14</v>
      </c>
      <c r="G35">
        <v>2</v>
      </c>
      <c r="H35">
        <v>0.15</v>
      </c>
      <c r="I35">
        <v>15300</v>
      </c>
      <c r="J35">
        <v>1588.61</v>
      </c>
    </row>
    <row r="36" spans="1:10" x14ac:dyDescent="0.3">
      <c r="A36" t="s">
        <v>62</v>
      </c>
      <c r="B36" s="1">
        <v>46117</v>
      </c>
      <c r="C36" t="s">
        <v>11</v>
      </c>
      <c r="D36" t="s">
        <v>12</v>
      </c>
      <c r="E36" t="s">
        <v>13</v>
      </c>
      <c r="F36" t="s">
        <v>23</v>
      </c>
      <c r="G36">
        <v>3</v>
      </c>
      <c r="H36">
        <v>0</v>
      </c>
      <c r="I36">
        <v>27000</v>
      </c>
      <c r="J36">
        <v>5569.82</v>
      </c>
    </row>
    <row r="37" spans="1:10" x14ac:dyDescent="0.3">
      <c r="A37" t="s">
        <v>63</v>
      </c>
      <c r="B37" s="1">
        <v>46122</v>
      </c>
      <c r="C37" t="s">
        <v>47</v>
      </c>
      <c r="D37" t="s">
        <v>29</v>
      </c>
      <c r="E37" t="s">
        <v>22</v>
      </c>
      <c r="F37" t="s">
        <v>23</v>
      </c>
      <c r="G37">
        <v>3</v>
      </c>
      <c r="H37">
        <v>0.1</v>
      </c>
      <c r="I37">
        <v>2430</v>
      </c>
      <c r="J37">
        <v>599.45000000000005</v>
      </c>
    </row>
    <row r="38" spans="1:10" x14ac:dyDescent="0.3">
      <c r="A38" t="s">
        <v>64</v>
      </c>
      <c r="B38" s="1">
        <v>46125</v>
      </c>
      <c r="C38" t="s">
        <v>38</v>
      </c>
      <c r="D38" t="s">
        <v>17</v>
      </c>
      <c r="E38" t="s">
        <v>18</v>
      </c>
      <c r="F38" t="s">
        <v>19</v>
      </c>
      <c r="G38">
        <v>1</v>
      </c>
      <c r="H38">
        <v>0</v>
      </c>
      <c r="I38">
        <v>25000</v>
      </c>
      <c r="J38">
        <v>6035.85</v>
      </c>
    </row>
    <row r="39" spans="1:10" x14ac:dyDescent="0.3">
      <c r="A39" t="s">
        <v>65</v>
      </c>
      <c r="B39" s="1">
        <v>46127</v>
      </c>
      <c r="C39" t="s">
        <v>26</v>
      </c>
      <c r="D39" t="s">
        <v>12</v>
      </c>
      <c r="E39" t="s">
        <v>22</v>
      </c>
      <c r="F39" t="s">
        <v>19</v>
      </c>
      <c r="G39">
        <v>5</v>
      </c>
      <c r="H39">
        <v>0.05</v>
      </c>
      <c r="I39">
        <v>57000</v>
      </c>
      <c r="J39">
        <v>11513.66</v>
      </c>
    </row>
    <row r="40" spans="1:10" x14ac:dyDescent="0.3">
      <c r="A40" t="s">
        <v>66</v>
      </c>
      <c r="B40" s="1">
        <v>46128</v>
      </c>
      <c r="C40" t="s">
        <v>42</v>
      </c>
      <c r="D40" t="s">
        <v>29</v>
      </c>
      <c r="E40" t="s">
        <v>32</v>
      </c>
      <c r="F40" t="s">
        <v>14</v>
      </c>
      <c r="G40">
        <v>5</v>
      </c>
      <c r="H40">
        <v>0.15</v>
      </c>
      <c r="I40">
        <v>7650</v>
      </c>
      <c r="J40">
        <v>1152.71</v>
      </c>
    </row>
    <row r="41" spans="1:10" x14ac:dyDescent="0.3">
      <c r="A41" t="s">
        <v>67</v>
      </c>
      <c r="B41" s="1">
        <v>46130</v>
      </c>
      <c r="C41" t="s">
        <v>47</v>
      </c>
      <c r="D41" t="s">
        <v>29</v>
      </c>
      <c r="E41" t="s">
        <v>22</v>
      </c>
      <c r="F41" t="s">
        <v>19</v>
      </c>
      <c r="G41">
        <v>3</v>
      </c>
      <c r="H41">
        <v>0.05</v>
      </c>
      <c r="I41">
        <v>2565</v>
      </c>
      <c r="J41">
        <v>366.62</v>
      </c>
    </row>
    <row r="42" spans="1:10" x14ac:dyDescent="0.3">
      <c r="A42" t="s">
        <v>68</v>
      </c>
      <c r="B42" s="1">
        <v>46136</v>
      </c>
      <c r="C42" t="s">
        <v>47</v>
      </c>
      <c r="D42" t="s">
        <v>29</v>
      </c>
      <c r="E42" t="s">
        <v>32</v>
      </c>
      <c r="F42" t="s">
        <v>19</v>
      </c>
      <c r="G42">
        <v>4</v>
      </c>
      <c r="H42">
        <v>0</v>
      </c>
      <c r="I42">
        <v>3600</v>
      </c>
      <c r="J42">
        <v>344.95</v>
      </c>
    </row>
    <row r="43" spans="1:10" x14ac:dyDescent="0.3">
      <c r="A43" t="s">
        <v>69</v>
      </c>
      <c r="B43" s="1">
        <v>46138</v>
      </c>
      <c r="C43" t="s">
        <v>42</v>
      </c>
      <c r="D43" t="s">
        <v>29</v>
      </c>
      <c r="E43" t="s">
        <v>13</v>
      </c>
      <c r="F43" t="s">
        <v>23</v>
      </c>
      <c r="G43">
        <v>1</v>
      </c>
      <c r="H43">
        <v>0.05</v>
      </c>
      <c r="I43">
        <v>1710</v>
      </c>
      <c r="J43">
        <v>332.38</v>
      </c>
    </row>
    <row r="44" spans="1:10" x14ac:dyDescent="0.3">
      <c r="A44" t="s">
        <v>70</v>
      </c>
      <c r="B44" s="1">
        <v>46143</v>
      </c>
      <c r="C44" t="s">
        <v>38</v>
      </c>
      <c r="D44" t="s">
        <v>17</v>
      </c>
      <c r="E44" t="s">
        <v>32</v>
      </c>
      <c r="F44" t="s">
        <v>23</v>
      </c>
      <c r="G44">
        <v>2</v>
      </c>
      <c r="H44">
        <v>0</v>
      </c>
      <c r="I44">
        <v>50000</v>
      </c>
      <c r="J44">
        <v>9057.7999999999993</v>
      </c>
    </row>
    <row r="45" spans="1:10" x14ac:dyDescent="0.3">
      <c r="A45" t="s">
        <v>71</v>
      </c>
      <c r="B45" s="1">
        <v>46146</v>
      </c>
      <c r="C45" t="s">
        <v>11</v>
      </c>
      <c r="D45" t="s">
        <v>12</v>
      </c>
      <c r="E45" t="s">
        <v>32</v>
      </c>
      <c r="F45" t="s">
        <v>19</v>
      </c>
      <c r="G45">
        <v>4</v>
      </c>
      <c r="H45">
        <v>0.15</v>
      </c>
      <c r="I45">
        <v>30600</v>
      </c>
      <c r="J45">
        <v>5336.03</v>
      </c>
    </row>
    <row r="46" spans="1:10" x14ac:dyDescent="0.3">
      <c r="A46" t="s">
        <v>72</v>
      </c>
      <c r="B46" s="1">
        <v>46148</v>
      </c>
      <c r="C46" t="s">
        <v>28</v>
      </c>
      <c r="D46" t="s">
        <v>29</v>
      </c>
      <c r="E46" t="s">
        <v>18</v>
      </c>
      <c r="F46" t="s">
        <v>14</v>
      </c>
      <c r="G46">
        <v>5</v>
      </c>
      <c r="H46">
        <v>0.1</v>
      </c>
      <c r="I46">
        <v>8100</v>
      </c>
      <c r="J46">
        <v>1091.81</v>
      </c>
    </row>
    <row r="47" spans="1:10" x14ac:dyDescent="0.3">
      <c r="A47" t="s">
        <v>73</v>
      </c>
      <c r="B47" s="1">
        <v>46148</v>
      </c>
      <c r="C47" t="s">
        <v>38</v>
      </c>
      <c r="D47" t="s">
        <v>17</v>
      </c>
      <c r="E47" t="s">
        <v>13</v>
      </c>
      <c r="F47" t="s">
        <v>14</v>
      </c>
      <c r="G47">
        <v>5</v>
      </c>
      <c r="H47">
        <v>0.05</v>
      </c>
      <c r="I47">
        <v>118750</v>
      </c>
      <c r="J47">
        <v>20282.95</v>
      </c>
    </row>
    <row r="48" spans="1:10" x14ac:dyDescent="0.3">
      <c r="A48" t="s">
        <v>74</v>
      </c>
      <c r="B48" s="1">
        <v>46151</v>
      </c>
      <c r="C48" t="s">
        <v>42</v>
      </c>
      <c r="D48" t="s">
        <v>29</v>
      </c>
      <c r="E48" t="s">
        <v>13</v>
      </c>
      <c r="F48" t="s">
        <v>23</v>
      </c>
      <c r="G48">
        <v>3</v>
      </c>
      <c r="H48">
        <v>0.15</v>
      </c>
      <c r="I48">
        <v>4590</v>
      </c>
      <c r="J48">
        <v>578.6</v>
      </c>
    </row>
    <row r="49" spans="1:10" x14ac:dyDescent="0.3">
      <c r="A49" t="s">
        <v>75</v>
      </c>
      <c r="B49" s="1">
        <v>46156</v>
      </c>
      <c r="C49" t="s">
        <v>28</v>
      </c>
      <c r="D49" t="s">
        <v>29</v>
      </c>
      <c r="E49" t="s">
        <v>32</v>
      </c>
      <c r="F49" t="s">
        <v>14</v>
      </c>
      <c r="G49">
        <v>2</v>
      </c>
      <c r="H49">
        <v>0.15</v>
      </c>
      <c r="I49">
        <v>3060</v>
      </c>
      <c r="J49">
        <v>339.34</v>
      </c>
    </row>
    <row r="50" spans="1:10" x14ac:dyDescent="0.3">
      <c r="A50" t="s">
        <v>76</v>
      </c>
      <c r="B50" s="1">
        <v>46157</v>
      </c>
      <c r="C50" t="s">
        <v>21</v>
      </c>
      <c r="D50" t="s">
        <v>17</v>
      </c>
      <c r="E50" t="s">
        <v>13</v>
      </c>
      <c r="F50" t="s">
        <v>19</v>
      </c>
      <c r="G50">
        <v>3</v>
      </c>
      <c r="H50">
        <v>0.05</v>
      </c>
      <c r="I50">
        <v>156750</v>
      </c>
      <c r="J50">
        <v>29517.48</v>
      </c>
    </row>
    <row r="51" spans="1:10" x14ac:dyDescent="0.3">
      <c r="A51" t="s">
        <v>77</v>
      </c>
      <c r="B51" s="1">
        <v>46157</v>
      </c>
      <c r="C51" t="s">
        <v>28</v>
      </c>
      <c r="D51" t="s">
        <v>29</v>
      </c>
      <c r="E51" t="s">
        <v>13</v>
      </c>
      <c r="F51" t="s">
        <v>19</v>
      </c>
      <c r="G51">
        <v>2</v>
      </c>
      <c r="H51">
        <v>0.15</v>
      </c>
      <c r="I51">
        <v>3060</v>
      </c>
      <c r="J51">
        <v>246.49</v>
      </c>
    </row>
    <row r="52" spans="1:10" x14ac:dyDescent="0.3">
      <c r="A52" t="s">
        <v>78</v>
      </c>
      <c r="B52" s="1">
        <v>46158</v>
      </c>
      <c r="C52" t="s">
        <v>38</v>
      </c>
      <c r="D52" t="s">
        <v>17</v>
      </c>
      <c r="E52" t="s">
        <v>18</v>
      </c>
      <c r="F52" t="s">
        <v>23</v>
      </c>
      <c r="G52">
        <v>3</v>
      </c>
      <c r="H52">
        <v>0.05</v>
      </c>
      <c r="I52">
        <v>71250</v>
      </c>
      <c r="J52">
        <v>12732.39</v>
      </c>
    </row>
    <row r="53" spans="1:10" x14ac:dyDescent="0.3">
      <c r="A53" t="s">
        <v>79</v>
      </c>
      <c r="B53" s="1">
        <v>46161</v>
      </c>
      <c r="C53" t="s">
        <v>16</v>
      </c>
      <c r="D53" t="s">
        <v>17</v>
      </c>
      <c r="E53" t="s">
        <v>32</v>
      </c>
      <c r="F53" t="s">
        <v>14</v>
      </c>
      <c r="G53">
        <v>4</v>
      </c>
      <c r="H53">
        <v>0.05</v>
      </c>
      <c r="I53">
        <v>9500</v>
      </c>
      <c r="J53">
        <v>1945.08</v>
      </c>
    </row>
    <row r="54" spans="1:10" x14ac:dyDescent="0.3">
      <c r="A54" t="s">
        <v>80</v>
      </c>
      <c r="B54" s="1">
        <v>46162</v>
      </c>
      <c r="C54" t="s">
        <v>28</v>
      </c>
      <c r="D54" t="s">
        <v>29</v>
      </c>
      <c r="E54" t="s">
        <v>32</v>
      </c>
      <c r="F54" t="s">
        <v>14</v>
      </c>
      <c r="G54">
        <v>5</v>
      </c>
      <c r="H54">
        <v>0.05</v>
      </c>
      <c r="I54">
        <v>8550</v>
      </c>
      <c r="J54">
        <v>1393.64</v>
      </c>
    </row>
    <row r="55" spans="1:10" x14ac:dyDescent="0.3">
      <c r="A55" t="s">
        <v>81</v>
      </c>
      <c r="B55" s="1">
        <v>46163</v>
      </c>
      <c r="C55" t="s">
        <v>11</v>
      </c>
      <c r="D55" t="s">
        <v>12</v>
      </c>
      <c r="E55" t="s">
        <v>32</v>
      </c>
      <c r="F55" t="s">
        <v>23</v>
      </c>
      <c r="G55">
        <v>3</v>
      </c>
      <c r="H55">
        <v>0.15</v>
      </c>
      <c r="I55">
        <v>22950</v>
      </c>
      <c r="J55">
        <v>4281.26</v>
      </c>
    </row>
    <row r="56" spans="1:10" x14ac:dyDescent="0.3">
      <c r="A56" t="s">
        <v>82</v>
      </c>
      <c r="B56" s="1">
        <v>46165</v>
      </c>
      <c r="C56" t="s">
        <v>21</v>
      </c>
      <c r="D56" t="s">
        <v>17</v>
      </c>
      <c r="E56" t="s">
        <v>32</v>
      </c>
      <c r="F56" t="s">
        <v>23</v>
      </c>
      <c r="G56">
        <v>3</v>
      </c>
      <c r="H56">
        <v>0</v>
      </c>
      <c r="I56">
        <v>165000</v>
      </c>
      <c r="J56">
        <v>27622.080000000002</v>
      </c>
    </row>
    <row r="57" spans="1:10" x14ac:dyDescent="0.3">
      <c r="A57" t="s">
        <v>83</v>
      </c>
      <c r="B57" s="1">
        <v>46174</v>
      </c>
      <c r="C57" t="s">
        <v>26</v>
      </c>
      <c r="D57" t="s">
        <v>12</v>
      </c>
      <c r="E57" t="s">
        <v>13</v>
      </c>
      <c r="F57" t="s">
        <v>23</v>
      </c>
      <c r="G57">
        <v>4</v>
      </c>
      <c r="H57">
        <v>0.15</v>
      </c>
      <c r="I57">
        <v>40800</v>
      </c>
      <c r="J57">
        <v>4337.67</v>
      </c>
    </row>
    <row r="58" spans="1:10" x14ac:dyDescent="0.3">
      <c r="A58" t="s">
        <v>84</v>
      </c>
      <c r="B58" s="1">
        <v>46174</v>
      </c>
      <c r="C58" t="s">
        <v>26</v>
      </c>
      <c r="D58" t="s">
        <v>12</v>
      </c>
      <c r="E58" t="s">
        <v>13</v>
      </c>
      <c r="F58" t="s">
        <v>23</v>
      </c>
      <c r="G58">
        <v>4</v>
      </c>
      <c r="H58">
        <v>0.1</v>
      </c>
      <c r="I58">
        <v>43200</v>
      </c>
      <c r="J58">
        <v>6411.23</v>
      </c>
    </row>
    <row r="59" spans="1:10" x14ac:dyDescent="0.3">
      <c r="A59" t="s">
        <v>85</v>
      </c>
      <c r="B59" s="1">
        <v>46177</v>
      </c>
      <c r="C59" t="s">
        <v>42</v>
      </c>
      <c r="D59" t="s">
        <v>29</v>
      </c>
      <c r="E59" t="s">
        <v>18</v>
      </c>
      <c r="F59" t="s">
        <v>19</v>
      </c>
      <c r="G59">
        <v>3</v>
      </c>
      <c r="H59">
        <v>0.05</v>
      </c>
      <c r="I59">
        <v>5130</v>
      </c>
      <c r="J59">
        <v>792.54</v>
      </c>
    </row>
    <row r="60" spans="1:10" x14ac:dyDescent="0.3">
      <c r="A60" t="s">
        <v>86</v>
      </c>
      <c r="B60" s="1">
        <v>46177</v>
      </c>
      <c r="C60" t="s">
        <v>28</v>
      </c>
      <c r="D60" t="s">
        <v>29</v>
      </c>
      <c r="E60" t="s">
        <v>32</v>
      </c>
      <c r="F60" t="s">
        <v>19</v>
      </c>
      <c r="G60">
        <v>4</v>
      </c>
      <c r="H60">
        <v>0.05</v>
      </c>
      <c r="I60">
        <v>6840</v>
      </c>
      <c r="J60">
        <v>1262.92</v>
      </c>
    </row>
    <row r="61" spans="1:10" x14ac:dyDescent="0.3">
      <c r="A61" t="s">
        <v>87</v>
      </c>
      <c r="B61" s="1">
        <v>46177</v>
      </c>
      <c r="C61" t="s">
        <v>11</v>
      </c>
      <c r="D61" t="s">
        <v>12</v>
      </c>
      <c r="E61" t="s">
        <v>18</v>
      </c>
      <c r="F61" t="s">
        <v>19</v>
      </c>
      <c r="G61">
        <v>1</v>
      </c>
      <c r="H61">
        <v>0.05</v>
      </c>
      <c r="I61">
        <v>8550</v>
      </c>
      <c r="J61">
        <v>832.11</v>
      </c>
    </row>
    <row r="62" spans="1:10" x14ac:dyDescent="0.3">
      <c r="A62" t="s">
        <v>88</v>
      </c>
      <c r="B62" s="1">
        <v>46184</v>
      </c>
      <c r="C62" t="s">
        <v>42</v>
      </c>
      <c r="D62" t="s">
        <v>29</v>
      </c>
      <c r="E62" t="s">
        <v>13</v>
      </c>
      <c r="F62" t="s">
        <v>19</v>
      </c>
      <c r="G62">
        <v>4</v>
      </c>
      <c r="H62">
        <v>0.1</v>
      </c>
      <c r="I62">
        <v>6480</v>
      </c>
      <c r="J62">
        <v>591.30999999999995</v>
      </c>
    </row>
    <row r="63" spans="1:10" x14ac:dyDescent="0.3">
      <c r="A63" t="s">
        <v>89</v>
      </c>
      <c r="B63" s="1">
        <v>46187</v>
      </c>
      <c r="C63" t="s">
        <v>21</v>
      </c>
      <c r="D63" t="s">
        <v>17</v>
      </c>
      <c r="E63" t="s">
        <v>32</v>
      </c>
      <c r="F63" t="s">
        <v>14</v>
      </c>
      <c r="G63">
        <v>3</v>
      </c>
      <c r="H63">
        <v>0.1</v>
      </c>
      <c r="I63">
        <v>148500</v>
      </c>
      <c r="J63">
        <v>17186.060000000001</v>
      </c>
    </row>
    <row r="64" spans="1:10" x14ac:dyDescent="0.3">
      <c r="A64" t="s">
        <v>90</v>
      </c>
      <c r="B64" s="1">
        <v>46193</v>
      </c>
      <c r="C64" t="s">
        <v>16</v>
      </c>
      <c r="D64" t="s">
        <v>17</v>
      </c>
      <c r="E64" t="s">
        <v>32</v>
      </c>
      <c r="F64" t="s">
        <v>19</v>
      </c>
      <c r="G64">
        <v>2</v>
      </c>
      <c r="H64">
        <v>0.15</v>
      </c>
      <c r="I64">
        <v>4250</v>
      </c>
      <c r="J64">
        <v>357.91</v>
      </c>
    </row>
    <row r="65" spans="1:10" x14ac:dyDescent="0.3">
      <c r="A65" t="s">
        <v>91</v>
      </c>
      <c r="B65" s="1">
        <v>46196</v>
      </c>
      <c r="C65" t="s">
        <v>47</v>
      </c>
      <c r="D65" t="s">
        <v>29</v>
      </c>
      <c r="E65" t="s">
        <v>18</v>
      </c>
      <c r="F65" t="s">
        <v>19</v>
      </c>
      <c r="G65">
        <v>1</v>
      </c>
      <c r="H65">
        <v>0.05</v>
      </c>
      <c r="I65">
        <v>855</v>
      </c>
      <c r="J65">
        <v>101.06</v>
      </c>
    </row>
    <row r="66" spans="1:10" x14ac:dyDescent="0.3">
      <c r="A66" t="s">
        <v>92</v>
      </c>
      <c r="B66" s="1">
        <v>46196</v>
      </c>
      <c r="C66" t="s">
        <v>21</v>
      </c>
      <c r="D66" t="s">
        <v>17</v>
      </c>
      <c r="E66" t="s">
        <v>18</v>
      </c>
      <c r="F66" t="s">
        <v>23</v>
      </c>
      <c r="G66">
        <v>1</v>
      </c>
      <c r="H66">
        <v>0</v>
      </c>
      <c r="I66">
        <v>55000</v>
      </c>
      <c r="J66">
        <v>8164.51</v>
      </c>
    </row>
    <row r="67" spans="1:10" x14ac:dyDescent="0.3">
      <c r="A67" t="s">
        <v>93</v>
      </c>
      <c r="B67" s="1">
        <v>46197</v>
      </c>
      <c r="C67" t="s">
        <v>26</v>
      </c>
      <c r="D67" t="s">
        <v>12</v>
      </c>
      <c r="E67" t="s">
        <v>22</v>
      </c>
      <c r="F67" t="s">
        <v>23</v>
      </c>
      <c r="G67">
        <v>1</v>
      </c>
      <c r="H67">
        <v>0.05</v>
      </c>
      <c r="I67">
        <v>11400</v>
      </c>
      <c r="J67">
        <v>2264.9899999999998</v>
      </c>
    </row>
    <row r="68" spans="1:10" x14ac:dyDescent="0.3">
      <c r="A68" t="s">
        <v>94</v>
      </c>
      <c r="B68" s="1">
        <v>46197</v>
      </c>
      <c r="C68" t="s">
        <v>21</v>
      </c>
      <c r="D68" t="s">
        <v>17</v>
      </c>
      <c r="E68" t="s">
        <v>18</v>
      </c>
      <c r="F68" t="s">
        <v>14</v>
      </c>
      <c r="G68">
        <v>1</v>
      </c>
      <c r="H68">
        <v>0.1</v>
      </c>
      <c r="I68">
        <v>49500</v>
      </c>
      <c r="J68">
        <v>10427.76</v>
      </c>
    </row>
    <row r="69" spans="1:10" x14ac:dyDescent="0.3">
      <c r="A69" t="s">
        <v>95</v>
      </c>
      <c r="B69" s="1">
        <v>46201</v>
      </c>
      <c r="C69" t="s">
        <v>11</v>
      </c>
      <c r="D69" t="s">
        <v>12</v>
      </c>
      <c r="E69" t="s">
        <v>18</v>
      </c>
      <c r="F69" t="s">
        <v>23</v>
      </c>
      <c r="G69">
        <v>5</v>
      </c>
      <c r="H69">
        <v>0.1</v>
      </c>
      <c r="I69">
        <v>40500</v>
      </c>
      <c r="J69">
        <v>4151.96</v>
      </c>
    </row>
    <row r="70" spans="1:10" x14ac:dyDescent="0.3">
      <c r="A70" t="s">
        <v>96</v>
      </c>
      <c r="B70" s="1">
        <v>46203</v>
      </c>
      <c r="C70" t="s">
        <v>21</v>
      </c>
      <c r="D70" t="s">
        <v>17</v>
      </c>
      <c r="E70" t="s">
        <v>22</v>
      </c>
      <c r="F70" t="s">
        <v>14</v>
      </c>
      <c r="G70">
        <v>5</v>
      </c>
      <c r="H70">
        <v>0.15</v>
      </c>
      <c r="I70">
        <v>233750</v>
      </c>
      <c r="J70">
        <v>37653.980000000003</v>
      </c>
    </row>
    <row r="71" spans="1:10" x14ac:dyDescent="0.3">
      <c r="A71" t="s">
        <v>97</v>
      </c>
      <c r="B71" s="1">
        <v>46204</v>
      </c>
      <c r="C71" t="s">
        <v>47</v>
      </c>
      <c r="D71" t="s">
        <v>29</v>
      </c>
      <c r="E71" t="s">
        <v>22</v>
      </c>
      <c r="F71" t="s">
        <v>14</v>
      </c>
      <c r="G71">
        <v>3</v>
      </c>
      <c r="H71">
        <v>0.05</v>
      </c>
      <c r="I71">
        <v>2565</v>
      </c>
      <c r="J71">
        <v>417.8</v>
      </c>
    </row>
    <row r="72" spans="1:10" x14ac:dyDescent="0.3">
      <c r="A72" t="s">
        <v>98</v>
      </c>
      <c r="B72" s="1">
        <v>46208</v>
      </c>
      <c r="C72" t="s">
        <v>42</v>
      </c>
      <c r="D72" t="s">
        <v>29</v>
      </c>
      <c r="E72" t="s">
        <v>22</v>
      </c>
      <c r="F72" t="s">
        <v>23</v>
      </c>
      <c r="G72">
        <v>4</v>
      </c>
      <c r="H72">
        <v>0</v>
      </c>
      <c r="I72">
        <v>7200</v>
      </c>
      <c r="J72">
        <v>712.93</v>
      </c>
    </row>
    <row r="73" spans="1:10" x14ac:dyDescent="0.3">
      <c r="A73" t="s">
        <v>99</v>
      </c>
      <c r="B73" s="1">
        <v>46208</v>
      </c>
      <c r="C73" t="s">
        <v>28</v>
      </c>
      <c r="D73" t="s">
        <v>29</v>
      </c>
      <c r="E73" t="s">
        <v>32</v>
      </c>
      <c r="F73" t="s">
        <v>19</v>
      </c>
      <c r="G73">
        <v>4</v>
      </c>
      <c r="H73">
        <v>0</v>
      </c>
      <c r="I73">
        <v>7200</v>
      </c>
      <c r="J73">
        <v>1106.6300000000001</v>
      </c>
    </row>
    <row r="74" spans="1:10" x14ac:dyDescent="0.3">
      <c r="A74" t="s">
        <v>100</v>
      </c>
      <c r="B74" s="1">
        <v>46215</v>
      </c>
      <c r="C74" t="s">
        <v>38</v>
      </c>
      <c r="D74" t="s">
        <v>17</v>
      </c>
      <c r="E74" t="s">
        <v>32</v>
      </c>
      <c r="F74" t="s">
        <v>19</v>
      </c>
      <c r="G74">
        <v>5</v>
      </c>
      <c r="H74">
        <v>0</v>
      </c>
      <c r="I74">
        <v>125000</v>
      </c>
      <c r="J74">
        <v>29738.85</v>
      </c>
    </row>
    <row r="75" spans="1:10" x14ac:dyDescent="0.3">
      <c r="A75" t="s">
        <v>101</v>
      </c>
      <c r="B75" s="1">
        <v>46216</v>
      </c>
      <c r="C75" t="s">
        <v>26</v>
      </c>
      <c r="D75" t="s">
        <v>12</v>
      </c>
      <c r="E75" t="s">
        <v>18</v>
      </c>
      <c r="F75" t="s">
        <v>19</v>
      </c>
      <c r="G75">
        <v>1</v>
      </c>
      <c r="H75">
        <v>0.15</v>
      </c>
      <c r="I75">
        <v>10200</v>
      </c>
      <c r="J75">
        <v>1745.82</v>
      </c>
    </row>
    <row r="76" spans="1:10" x14ac:dyDescent="0.3">
      <c r="A76" t="s">
        <v>102</v>
      </c>
      <c r="B76" s="1">
        <v>46217</v>
      </c>
      <c r="C76" t="s">
        <v>47</v>
      </c>
      <c r="D76" t="s">
        <v>29</v>
      </c>
      <c r="E76" t="s">
        <v>22</v>
      </c>
      <c r="F76" t="s">
        <v>23</v>
      </c>
      <c r="G76">
        <v>2</v>
      </c>
      <c r="H76">
        <v>0.15</v>
      </c>
      <c r="I76">
        <v>1530</v>
      </c>
      <c r="J76">
        <v>270.62</v>
      </c>
    </row>
    <row r="77" spans="1:10" x14ac:dyDescent="0.3">
      <c r="A77" t="s">
        <v>103</v>
      </c>
      <c r="B77" s="1">
        <v>46217</v>
      </c>
      <c r="C77" t="s">
        <v>11</v>
      </c>
      <c r="D77" t="s">
        <v>12</v>
      </c>
      <c r="E77" t="s">
        <v>22</v>
      </c>
      <c r="F77" t="s">
        <v>14</v>
      </c>
      <c r="G77">
        <v>4</v>
      </c>
      <c r="H77">
        <v>0.1</v>
      </c>
      <c r="I77">
        <v>32400</v>
      </c>
      <c r="J77">
        <v>4450.95</v>
      </c>
    </row>
    <row r="78" spans="1:10" x14ac:dyDescent="0.3">
      <c r="A78" t="s">
        <v>104</v>
      </c>
      <c r="B78" s="1">
        <v>46222</v>
      </c>
      <c r="C78" t="s">
        <v>28</v>
      </c>
      <c r="D78" t="s">
        <v>29</v>
      </c>
      <c r="E78" t="s">
        <v>22</v>
      </c>
      <c r="F78" t="s">
        <v>14</v>
      </c>
      <c r="G78">
        <v>1</v>
      </c>
      <c r="H78">
        <v>0.05</v>
      </c>
      <c r="I78">
        <v>1710</v>
      </c>
      <c r="J78">
        <v>246.97</v>
      </c>
    </row>
    <row r="79" spans="1:10" x14ac:dyDescent="0.3">
      <c r="A79" t="s">
        <v>105</v>
      </c>
      <c r="B79" s="1">
        <v>46227</v>
      </c>
      <c r="C79" t="s">
        <v>28</v>
      </c>
      <c r="D79" t="s">
        <v>29</v>
      </c>
      <c r="E79" t="s">
        <v>22</v>
      </c>
      <c r="F79" t="s">
        <v>14</v>
      </c>
      <c r="G79">
        <v>2</v>
      </c>
      <c r="H79">
        <v>0.05</v>
      </c>
      <c r="I79">
        <v>3420</v>
      </c>
      <c r="J79">
        <v>688.11</v>
      </c>
    </row>
    <row r="80" spans="1:10" x14ac:dyDescent="0.3">
      <c r="A80" t="s">
        <v>106</v>
      </c>
      <c r="B80" s="1">
        <v>46227</v>
      </c>
      <c r="C80" t="s">
        <v>38</v>
      </c>
      <c r="D80" t="s">
        <v>17</v>
      </c>
      <c r="E80" t="s">
        <v>22</v>
      </c>
      <c r="F80" t="s">
        <v>23</v>
      </c>
      <c r="G80">
        <v>3</v>
      </c>
      <c r="H80">
        <v>0.1</v>
      </c>
      <c r="I80">
        <v>67500</v>
      </c>
      <c r="J80">
        <v>12761</v>
      </c>
    </row>
    <row r="81" spans="1:10" x14ac:dyDescent="0.3">
      <c r="A81" t="s">
        <v>107</v>
      </c>
      <c r="B81" s="1">
        <v>46227</v>
      </c>
      <c r="C81" t="s">
        <v>26</v>
      </c>
      <c r="D81" t="s">
        <v>12</v>
      </c>
      <c r="E81" t="s">
        <v>22</v>
      </c>
      <c r="F81" t="s">
        <v>23</v>
      </c>
      <c r="G81">
        <v>5</v>
      </c>
      <c r="H81">
        <v>0.15</v>
      </c>
      <c r="I81">
        <v>51000</v>
      </c>
      <c r="J81">
        <v>11864.12</v>
      </c>
    </row>
    <row r="82" spans="1:10" x14ac:dyDescent="0.3">
      <c r="A82" t="s">
        <v>108</v>
      </c>
      <c r="B82" s="1">
        <v>46227</v>
      </c>
      <c r="C82" t="s">
        <v>11</v>
      </c>
      <c r="D82" t="s">
        <v>12</v>
      </c>
      <c r="E82" t="s">
        <v>22</v>
      </c>
      <c r="F82" t="s">
        <v>14</v>
      </c>
      <c r="G82">
        <v>2</v>
      </c>
      <c r="H82">
        <v>0</v>
      </c>
      <c r="I82">
        <v>18000</v>
      </c>
      <c r="J82">
        <v>3459.7</v>
      </c>
    </row>
    <row r="83" spans="1:10" x14ac:dyDescent="0.3">
      <c r="A83" t="s">
        <v>109</v>
      </c>
      <c r="B83" s="1">
        <v>46230</v>
      </c>
      <c r="C83" t="s">
        <v>21</v>
      </c>
      <c r="D83" t="s">
        <v>17</v>
      </c>
      <c r="E83" t="s">
        <v>13</v>
      </c>
      <c r="F83" t="s">
        <v>14</v>
      </c>
      <c r="G83">
        <v>4</v>
      </c>
      <c r="H83">
        <v>0.1</v>
      </c>
      <c r="I83">
        <v>198000</v>
      </c>
      <c r="J83">
        <v>38354.29</v>
      </c>
    </row>
    <row r="84" spans="1:10" x14ac:dyDescent="0.3">
      <c r="A84" t="s">
        <v>110</v>
      </c>
      <c r="B84" s="1">
        <v>46231</v>
      </c>
      <c r="C84" t="s">
        <v>11</v>
      </c>
      <c r="D84" t="s">
        <v>12</v>
      </c>
      <c r="E84" t="s">
        <v>13</v>
      </c>
      <c r="F84" t="s">
        <v>23</v>
      </c>
      <c r="G84">
        <v>1</v>
      </c>
      <c r="H84">
        <v>0.1</v>
      </c>
      <c r="I84">
        <v>8100</v>
      </c>
      <c r="J84">
        <v>1722.22</v>
      </c>
    </row>
    <row r="85" spans="1:10" x14ac:dyDescent="0.3">
      <c r="A85" t="s">
        <v>111</v>
      </c>
      <c r="B85" s="1">
        <v>46233</v>
      </c>
      <c r="C85" t="s">
        <v>38</v>
      </c>
      <c r="D85" t="s">
        <v>17</v>
      </c>
      <c r="E85" t="s">
        <v>32</v>
      </c>
      <c r="F85" t="s">
        <v>19</v>
      </c>
      <c r="G85">
        <v>1</v>
      </c>
      <c r="H85">
        <v>0.15</v>
      </c>
      <c r="I85">
        <v>21250</v>
      </c>
      <c r="J85">
        <v>2979.9</v>
      </c>
    </row>
    <row r="86" spans="1:10" x14ac:dyDescent="0.3">
      <c r="A86" t="s">
        <v>112</v>
      </c>
      <c r="B86" s="1">
        <v>46237</v>
      </c>
      <c r="C86" t="s">
        <v>21</v>
      </c>
      <c r="D86" t="s">
        <v>17</v>
      </c>
      <c r="E86" t="s">
        <v>13</v>
      </c>
      <c r="F86" t="s">
        <v>14</v>
      </c>
      <c r="G86">
        <v>5</v>
      </c>
      <c r="H86">
        <v>0.05</v>
      </c>
      <c r="I86">
        <v>261250</v>
      </c>
      <c r="J86">
        <v>52700.22</v>
      </c>
    </row>
    <row r="87" spans="1:10" x14ac:dyDescent="0.3">
      <c r="A87" t="s">
        <v>113</v>
      </c>
      <c r="B87" s="1">
        <v>46237</v>
      </c>
      <c r="C87" t="s">
        <v>11</v>
      </c>
      <c r="D87" t="s">
        <v>12</v>
      </c>
      <c r="E87" t="s">
        <v>22</v>
      </c>
      <c r="F87" t="s">
        <v>14</v>
      </c>
      <c r="G87">
        <v>5</v>
      </c>
      <c r="H87">
        <v>0</v>
      </c>
      <c r="I87">
        <v>45000</v>
      </c>
      <c r="J87">
        <v>8338.27</v>
      </c>
    </row>
    <row r="88" spans="1:10" x14ac:dyDescent="0.3">
      <c r="A88" t="s">
        <v>114</v>
      </c>
      <c r="B88" s="1">
        <v>46239</v>
      </c>
      <c r="C88" t="s">
        <v>47</v>
      </c>
      <c r="D88" t="s">
        <v>29</v>
      </c>
      <c r="E88" t="s">
        <v>22</v>
      </c>
      <c r="F88" t="s">
        <v>23</v>
      </c>
      <c r="G88">
        <v>3</v>
      </c>
      <c r="H88">
        <v>0</v>
      </c>
      <c r="I88">
        <v>2700</v>
      </c>
      <c r="J88">
        <v>258.36</v>
      </c>
    </row>
    <row r="89" spans="1:10" x14ac:dyDescent="0.3">
      <c r="A89" t="s">
        <v>115</v>
      </c>
      <c r="B89" s="1">
        <v>46248</v>
      </c>
      <c r="C89" t="s">
        <v>21</v>
      </c>
      <c r="D89" t="s">
        <v>17</v>
      </c>
      <c r="E89" t="s">
        <v>22</v>
      </c>
      <c r="F89" t="s">
        <v>23</v>
      </c>
      <c r="G89">
        <v>5</v>
      </c>
      <c r="H89">
        <v>0.1</v>
      </c>
      <c r="I89">
        <v>247500</v>
      </c>
      <c r="J89">
        <v>39549.879999999997</v>
      </c>
    </row>
    <row r="90" spans="1:10" x14ac:dyDescent="0.3">
      <c r="A90" t="s">
        <v>116</v>
      </c>
      <c r="B90" s="1">
        <v>46258</v>
      </c>
      <c r="C90" t="s">
        <v>47</v>
      </c>
      <c r="D90" t="s">
        <v>29</v>
      </c>
      <c r="E90" t="s">
        <v>22</v>
      </c>
      <c r="F90" t="s">
        <v>14</v>
      </c>
      <c r="G90">
        <v>2</v>
      </c>
      <c r="H90">
        <v>0.05</v>
      </c>
      <c r="I90">
        <v>1710</v>
      </c>
      <c r="J90">
        <v>374.18</v>
      </c>
    </row>
    <row r="91" spans="1:10" x14ac:dyDescent="0.3">
      <c r="A91" t="s">
        <v>117</v>
      </c>
      <c r="B91" s="1">
        <v>46260</v>
      </c>
      <c r="C91" t="s">
        <v>11</v>
      </c>
      <c r="D91" t="s">
        <v>12</v>
      </c>
      <c r="E91" t="s">
        <v>22</v>
      </c>
      <c r="F91" t="s">
        <v>14</v>
      </c>
      <c r="G91">
        <v>1</v>
      </c>
      <c r="H91">
        <v>0.15</v>
      </c>
      <c r="I91">
        <v>7650</v>
      </c>
      <c r="J91">
        <v>785.41</v>
      </c>
    </row>
    <row r="92" spans="1:10" x14ac:dyDescent="0.3">
      <c r="A92" t="s">
        <v>118</v>
      </c>
      <c r="B92" s="1">
        <v>46262</v>
      </c>
      <c r="C92" t="s">
        <v>16</v>
      </c>
      <c r="D92" t="s">
        <v>17</v>
      </c>
      <c r="E92" t="s">
        <v>22</v>
      </c>
      <c r="F92" t="s">
        <v>19</v>
      </c>
      <c r="G92">
        <v>4</v>
      </c>
      <c r="H92">
        <v>0</v>
      </c>
      <c r="I92">
        <v>10000</v>
      </c>
      <c r="J92">
        <v>1454.1</v>
      </c>
    </row>
    <row r="93" spans="1:10" x14ac:dyDescent="0.3">
      <c r="A93" t="s">
        <v>119</v>
      </c>
      <c r="B93" s="1">
        <v>46265</v>
      </c>
      <c r="C93" t="s">
        <v>16</v>
      </c>
      <c r="D93" t="s">
        <v>17</v>
      </c>
      <c r="E93" t="s">
        <v>32</v>
      </c>
      <c r="F93" t="s">
        <v>23</v>
      </c>
      <c r="G93">
        <v>5</v>
      </c>
      <c r="H93">
        <v>0.15</v>
      </c>
      <c r="I93">
        <v>10625</v>
      </c>
      <c r="J93">
        <v>1288.9100000000001</v>
      </c>
    </row>
    <row r="94" spans="1:10" x14ac:dyDescent="0.3">
      <c r="A94" t="s">
        <v>120</v>
      </c>
      <c r="B94" s="1">
        <v>46266</v>
      </c>
      <c r="C94" t="s">
        <v>28</v>
      </c>
      <c r="D94" t="s">
        <v>29</v>
      </c>
      <c r="E94" t="s">
        <v>32</v>
      </c>
      <c r="F94" t="s">
        <v>14</v>
      </c>
      <c r="G94">
        <v>5</v>
      </c>
      <c r="H94">
        <v>0.15</v>
      </c>
      <c r="I94">
        <v>7650</v>
      </c>
      <c r="J94">
        <v>1778.82</v>
      </c>
    </row>
    <row r="95" spans="1:10" x14ac:dyDescent="0.3">
      <c r="A95" t="s">
        <v>121</v>
      </c>
      <c r="B95" s="1">
        <v>46267</v>
      </c>
      <c r="C95" t="s">
        <v>21</v>
      </c>
      <c r="D95" t="s">
        <v>17</v>
      </c>
      <c r="E95" t="s">
        <v>13</v>
      </c>
      <c r="F95" t="s">
        <v>23</v>
      </c>
      <c r="G95">
        <v>3</v>
      </c>
      <c r="H95">
        <v>0</v>
      </c>
      <c r="I95">
        <v>165000</v>
      </c>
      <c r="J95">
        <v>14606.49</v>
      </c>
    </row>
    <row r="96" spans="1:10" x14ac:dyDescent="0.3">
      <c r="A96" t="s">
        <v>122</v>
      </c>
      <c r="B96" s="1">
        <v>46271</v>
      </c>
      <c r="C96" t="s">
        <v>21</v>
      </c>
      <c r="D96" t="s">
        <v>17</v>
      </c>
      <c r="E96" t="s">
        <v>32</v>
      </c>
      <c r="F96" t="s">
        <v>23</v>
      </c>
      <c r="G96">
        <v>1</v>
      </c>
      <c r="H96">
        <v>0.05</v>
      </c>
      <c r="I96">
        <v>52250</v>
      </c>
      <c r="J96">
        <v>5657.26</v>
      </c>
    </row>
    <row r="97" spans="1:10" x14ac:dyDescent="0.3">
      <c r="A97" t="s">
        <v>123</v>
      </c>
      <c r="B97" s="1">
        <v>46271</v>
      </c>
      <c r="C97" t="s">
        <v>21</v>
      </c>
      <c r="D97" t="s">
        <v>17</v>
      </c>
      <c r="E97" t="s">
        <v>18</v>
      </c>
      <c r="F97" t="s">
        <v>19</v>
      </c>
      <c r="G97">
        <v>2</v>
      </c>
      <c r="H97">
        <v>0</v>
      </c>
      <c r="I97">
        <v>110000</v>
      </c>
      <c r="J97">
        <v>10401.719999999999</v>
      </c>
    </row>
    <row r="98" spans="1:10" x14ac:dyDescent="0.3">
      <c r="A98" t="s">
        <v>124</v>
      </c>
      <c r="B98" s="1">
        <v>46284</v>
      </c>
      <c r="C98" t="s">
        <v>28</v>
      </c>
      <c r="D98" t="s">
        <v>29</v>
      </c>
      <c r="E98" t="s">
        <v>18</v>
      </c>
      <c r="F98" t="s">
        <v>14</v>
      </c>
      <c r="G98">
        <v>3</v>
      </c>
      <c r="H98">
        <v>0.1</v>
      </c>
      <c r="I98">
        <v>4860</v>
      </c>
      <c r="J98">
        <v>749.35</v>
      </c>
    </row>
    <row r="99" spans="1:10" x14ac:dyDescent="0.3">
      <c r="A99" t="s">
        <v>125</v>
      </c>
      <c r="B99" s="1">
        <v>46287</v>
      </c>
      <c r="C99" t="s">
        <v>26</v>
      </c>
      <c r="D99" t="s">
        <v>12</v>
      </c>
      <c r="E99" t="s">
        <v>13</v>
      </c>
      <c r="F99" t="s">
        <v>23</v>
      </c>
      <c r="G99">
        <v>5</v>
      </c>
      <c r="H99">
        <v>0.1</v>
      </c>
      <c r="I99">
        <v>54000</v>
      </c>
      <c r="J99">
        <v>9422.16</v>
      </c>
    </row>
    <row r="100" spans="1:10" x14ac:dyDescent="0.3">
      <c r="A100" t="s">
        <v>126</v>
      </c>
      <c r="B100" s="1">
        <v>46288</v>
      </c>
      <c r="C100" t="s">
        <v>28</v>
      </c>
      <c r="D100" t="s">
        <v>29</v>
      </c>
      <c r="E100" t="s">
        <v>32</v>
      </c>
      <c r="F100" t="s">
        <v>23</v>
      </c>
      <c r="G100">
        <v>2</v>
      </c>
      <c r="H100">
        <v>0.05</v>
      </c>
      <c r="I100">
        <v>3420</v>
      </c>
      <c r="J100">
        <v>741.11</v>
      </c>
    </row>
    <row r="101" spans="1:10" x14ac:dyDescent="0.3">
      <c r="A101" t="s">
        <v>127</v>
      </c>
      <c r="B101" s="1">
        <v>46294</v>
      </c>
      <c r="C101" t="s">
        <v>11</v>
      </c>
      <c r="D101" t="s">
        <v>12</v>
      </c>
      <c r="E101" t="s">
        <v>22</v>
      </c>
      <c r="F101" t="s">
        <v>14</v>
      </c>
      <c r="G101">
        <v>3</v>
      </c>
      <c r="H101">
        <v>0.1</v>
      </c>
      <c r="I101">
        <v>24300</v>
      </c>
      <c r="J101">
        <v>3899.04</v>
      </c>
    </row>
  </sheetData>
  <autoFilter ref="A1:J101" xr:uid="{03B013F3-1437-40F1-89FB-9016784DC924}"/>
  <conditionalFormatting sqref="A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CodeAlpha_Data_Analytics_Sales_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</dc:creator>
  <cp:lastModifiedBy>NAVYA POTU</cp:lastModifiedBy>
  <dcterms:created xsi:type="dcterms:W3CDTF">2026-09-20T08:26:22Z</dcterms:created>
  <dcterms:modified xsi:type="dcterms:W3CDTF">2026-09-20T08:26:22Z</dcterms:modified>
</cp:coreProperties>
</file>